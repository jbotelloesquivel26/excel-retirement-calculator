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jbotelloesquivel/Documents/Joseluis/Personal/The Excel Bootcamp - Zero To Mastery - Starter Files/GitHub Files/retirement-calculator/"/>
    </mc:Choice>
  </mc:AlternateContent>
  <xr:revisionPtr revIDLastSave="0" documentId="13_ncr:1_{58483B1B-1927-634F-A2CC-2DB9375EA297}" xr6:coauthVersionLast="47" xr6:coauthVersionMax="47" xr10:uidLastSave="{00000000-0000-0000-0000-000000000000}"/>
  <bookViews>
    <workbookView xWindow="160" yWindow="640" windowWidth="19580" windowHeight="18680" activeTab="1" xr2:uid="{00000000-000D-0000-FFFF-FFFF00000000}"/>
  </bookViews>
  <sheets>
    <sheet name="Planner" sheetId="1" r:id="rId1"/>
    <sheet name="Detail" sheetId="5" r:id="rId2"/>
    <sheet name="Calculations" sheetId="2" state="hidden" r:id="rId3"/>
    <sheet name="Support" sheetId="3" state="hidden" r:id="rId4"/>
  </sheets>
  <definedNames>
    <definedName name="age_when_money_runs_out">Support!$B$9</definedName>
    <definedName name="ann_income_increase">Planner!$B$12</definedName>
    <definedName name="ann_inflation">Planner!$B$11</definedName>
    <definedName name="cur_age">Planner!$B$5</definedName>
    <definedName name="cur_expenses">Planner!$B$7</definedName>
    <definedName name="cur_income">Planner!$B$6</definedName>
    <definedName name="cur_ret_saving">Planner!$B$8</definedName>
    <definedName name="des_rit_age">Planner!$B$2</definedName>
    <definedName name="dynamic_labels" localSheetId="1">OFFSET(Detail!$A$2,0,0,[0]!years_before_money_runs_out,1)</definedName>
    <definedName name="dynamic_labels">OFFSET(Calculations!$B$2,0,0,years_before_money_runs_out,1)</definedName>
    <definedName name="dynamic_series" localSheetId="1">OFFSET(Detail!$I$2,0,0,[0]!years_before_money_runs_out,1)</definedName>
    <definedName name="dynamic_series">OFFSET(Calculations!$J$2,0,0,years_before_money_runs_out,1)</definedName>
    <definedName name="post_inv_return">Support!$B$6</definedName>
    <definedName name="pre_inv_return">Support!$B$5</definedName>
    <definedName name="tax_rate">Planner!$B$13</definedName>
    <definedName name="years_before_money_runs_out">Support!$B$8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H2" i="2" s="1"/>
  <c r="E2" i="2"/>
  <c r="F2" i="2" s="1"/>
  <c r="D2" i="2"/>
  <c r="C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3" i="2"/>
  <c r="B2" i="2"/>
  <c r="B5" i="3"/>
  <c r="B6" i="3"/>
  <c r="I3" i="2" l="1"/>
  <c r="I2" i="2"/>
  <c r="J2" i="2" s="1"/>
  <c r="G3" i="2" s="1"/>
  <c r="E3" i="2"/>
  <c r="B3" i="2"/>
  <c r="C3" i="2"/>
  <c r="C4" i="2" s="1"/>
  <c r="E4" i="2"/>
  <c r="D3" i="2" l="1"/>
  <c r="F3" i="2" s="1"/>
  <c r="D4" i="2"/>
  <c r="F4" i="2" s="1"/>
  <c r="I4" i="2"/>
  <c r="B4" i="2"/>
  <c r="C5" i="2" s="1"/>
  <c r="K2" i="2"/>
  <c r="H3" i="2"/>
  <c r="E5" i="2"/>
  <c r="D5" i="2" l="1"/>
  <c r="F5" i="2" s="1"/>
  <c r="B5" i="2"/>
  <c r="I5" i="2"/>
  <c r="J3" i="2"/>
  <c r="G4" i="2" s="1"/>
  <c r="H4" i="2" s="1"/>
  <c r="J4" i="2" s="1"/>
  <c r="K4" i="2" s="1"/>
  <c r="E6" i="2"/>
  <c r="K3" i="2" l="1"/>
  <c r="B6" i="2"/>
  <c r="I6" i="2"/>
  <c r="C6" i="2"/>
  <c r="G5" i="2"/>
  <c r="H5" i="2" s="1"/>
  <c r="J5" i="2" s="1"/>
  <c r="E7" i="2"/>
  <c r="B7" i="2" l="1"/>
  <c r="I7" i="2"/>
  <c r="C7" i="2"/>
  <c r="D6" i="2"/>
  <c r="F6" i="2" s="1"/>
  <c r="K5" i="2"/>
  <c r="G6" i="2"/>
  <c r="E8" i="2"/>
  <c r="C8" i="2" l="1"/>
  <c r="D7" i="2"/>
  <c r="F7" i="2" s="1"/>
  <c r="B8" i="2"/>
  <c r="I8" i="2"/>
  <c r="H6" i="2"/>
  <c r="J6" i="2" s="1"/>
  <c r="E9" i="2"/>
  <c r="C9" i="2" l="1"/>
  <c r="D8" i="2"/>
  <c r="F8" i="2" s="1"/>
  <c r="B9" i="2"/>
  <c r="I9" i="2"/>
  <c r="K6" i="2"/>
  <c r="G7" i="2"/>
  <c r="E10" i="2"/>
  <c r="B10" i="2" l="1"/>
  <c r="I10" i="2"/>
  <c r="C10" i="2"/>
  <c r="D9" i="2"/>
  <c r="F9" i="2" s="1"/>
  <c r="H7" i="2"/>
  <c r="J7" i="2" s="1"/>
  <c r="E11" i="2"/>
  <c r="B11" i="2" l="1"/>
  <c r="I11" i="2"/>
  <c r="C11" i="2"/>
  <c r="D10" i="2"/>
  <c r="F10" i="2" s="1"/>
  <c r="K7" i="2"/>
  <c r="G8" i="2"/>
  <c r="E12" i="2"/>
  <c r="B12" i="2" l="1"/>
  <c r="I12" i="2"/>
  <c r="C12" i="2"/>
  <c r="D11" i="2"/>
  <c r="F11" i="2" s="1"/>
  <c r="H8" i="2"/>
  <c r="E13" i="2"/>
  <c r="B13" i="2" l="1"/>
  <c r="I13" i="2"/>
  <c r="C13" i="2"/>
  <c r="D12" i="2"/>
  <c r="F12" i="2" s="1"/>
  <c r="J8" i="2"/>
  <c r="K8" i="2" s="1"/>
  <c r="E14" i="2"/>
  <c r="C14" i="2" l="1"/>
  <c r="D13" i="2"/>
  <c r="F13" i="2" s="1"/>
  <c r="B14" i="2"/>
  <c r="I14" i="2"/>
  <c r="G9" i="2"/>
  <c r="H9" i="2" s="1"/>
  <c r="E15" i="2"/>
  <c r="C15" i="2" l="1"/>
  <c r="D14" i="2"/>
  <c r="F14" i="2" s="1"/>
  <c r="B15" i="2"/>
  <c r="I15" i="2"/>
  <c r="J9" i="2"/>
  <c r="E16" i="2"/>
  <c r="B16" i="2" l="1"/>
  <c r="I16" i="2"/>
  <c r="C16" i="2"/>
  <c r="D15" i="2"/>
  <c r="F15" i="2" s="1"/>
  <c r="G10" i="2"/>
  <c r="H10" i="2" s="1"/>
  <c r="J10" i="2" s="1"/>
  <c r="K9" i="2"/>
  <c r="E17" i="2"/>
  <c r="B17" i="2" l="1"/>
  <c r="I17" i="2"/>
  <c r="C17" i="2"/>
  <c r="D16" i="2"/>
  <c r="F16" i="2" s="1"/>
  <c r="G11" i="2"/>
  <c r="H11" i="2" s="1"/>
  <c r="J11" i="2" s="1"/>
  <c r="K10" i="2"/>
  <c r="E18" i="2"/>
  <c r="C18" i="2" l="1"/>
  <c r="D17" i="2"/>
  <c r="F17" i="2" s="1"/>
  <c r="B18" i="2"/>
  <c r="I18" i="2"/>
  <c r="G12" i="2"/>
  <c r="H12" i="2" s="1"/>
  <c r="J12" i="2" s="1"/>
  <c r="K12" i="2" s="1"/>
  <c r="K11" i="2"/>
  <c r="E19" i="2"/>
  <c r="C19" i="2" l="1"/>
  <c r="D18" i="2"/>
  <c r="F18" i="2" s="1"/>
  <c r="B19" i="2"/>
  <c r="I19" i="2"/>
  <c r="G13" i="2"/>
  <c r="E20" i="2"/>
  <c r="C20" i="2" l="1"/>
  <c r="D19" i="2"/>
  <c r="F19" i="2" s="1"/>
  <c r="B20" i="2"/>
  <c r="I20" i="2"/>
  <c r="H13" i="2"/>
  <c r="J13" i="2" s="1"/>
  <c r="K13" i="2" s="1"/>
  <c r="E21" i="2"/>
  <c r="B21" i="2" l="1"/>
  <c r="I21" i="2"/>
  <c r="C21" i="2"/>
  <c r="D20" i="2"/>
  <c r="F20" i="2" s="1"/>
  <c r="G14" i="2"/>
  <c r="E22" i="2"/>
  <c r="C22" i="2" l="1"/>
  <c r="D21" i="2"/>
  <c r="F21" i="2" s="1"/>
  <c r="B22" i="2"/>
  <c r="I22" i="2"/>
  <c r="H14" i="2"/>
  <c r="J14" i="2" s="1"/>
  <c r="K14" i="2" s="1"/>
  <c r="E23" i="2"/>
  <c r="B23" i="2" l="1"/>
  <c r="I23" i="2"/>
  <c r="C23" i="2"/>
  <c r="D22" i="2"/>
  <c r="F22" i="2" s="1"/>
  <c r="G15" i="2"/>
  <c r="E24" i="2"/>
  <c r="B24" i="2" l="1"/>
  <c r="I24" i="2"/>
  <c r="C24" i="2"/>
  <c r="D23" i="2"/>
  <c r="F23" i="2" s="1"/>
  <c r="H15" i="2"/>
  <c r="J15" i="2" s="1"/>
  <c r="K15" i="2" s="1"/>
  <c r="E25" i="2"/>
  <c r="C25" i="2" l="1"/>
  <c r="D24" i="2"/>
  <c r="F24" i="2" s="1"/>
  <c r="B25" i="2"/>
  <c r="I25" i="2"/>
  <c r="G16" i="2"/>
  <c r="E26" i="2"/>
  <c r="B26" i="2" l="1"/>
  <c r="I26" i="2"/>
  <c r="C26" i="2"/>
  <c r="D25" i="2"/>
  <c r="F25" i="2" s="1"/>
  <c r="H16" i="2"/>
  <c r="J16" i="2" s="1"/>
  <c r="K16" i="2" s="1"/>
  <c r="E27" i="2"/>
  <c r="B27" i="2" l="1"/>
  <c r="I27" i="2"/>
  <c r="C27" i="2"/>
  <c r="D26" i="2"/>
  <c r="F26" i="2" s="1"/>
  <c r="G17" i="2"/>
  <c r="E28" i="2"/>
  <c r="C28" i="2" l="1"/>
  <c r="D27" i="2"/>
  <c r="F27" i="2" s="1"/>
  <c r="B28" i="2"/>
  <c r="I28" i="2"/>
  <c r="H17" i="2"/>
  <c r="J17" i="2" s="1"/>
  <c r="K17" i="2" s="1"/>
  <c r="E29" i="2"/>
  <c r="B29" i="2" l="1"/>
  <c r="I29" i="2"/>
  <c r="C29" i="2"/>
  <c r="D28" i="2"/>
  <c r="F28" i="2" s="1"/>
  <c r="G18" i="2"/>
  <c r="E30" i="2"/>
  <c r="C30" i="2" l="1"/>
  <c r="D29" i="2"/>
  <c r="F29" i="2" s="1"/>
  <c r="B30" i="2"/>
  <c r="I30" i="2"/>
  <c r="H18" i="2"/>
  <c r="J18" i="2" s="1"/>
  <c r="K18" i="2" s="1"/>
  <c r="E31" i="2"/>
  <c r="C31" i="2" l="1"/>
  <c r="D30" i="2"/>
  <c r="F30" i="2" s="1"/>
  <c r="B31" i="2"/>
  <c r="I31" i="2"/>
  <c r="G19" i="2"/>
  <c r="E32" i="2"/>
  <c r="B32" i="2" l="1"/>
  <c r="I32" i="2"/>
  <c r="C32" i="2"/>
  <c r="D31" i="2"/>
  <c r="F31" i="2" s="1"/>
  <c r="H19" i="2"/>
  <c r="J19" i="2" s="1"/>
  <c r="K19" i="2" s="1"/>
  <c r="E33" i="2"/>
  <c r="B33" i="2" l="1"/>
  <c r="I33" i="2"/>
  <c r="C33" i="2"/>
  <c r="D32" i="2"/>
  <c r="F32" i="2" s="1"/>
  <c r="G20" i="2"/>
  <c r="E34" i="2"/>
  <c r="C34" i="2" l="1"/>
  <c r="D33" i="2"/>
  <c r="F33" i="2" s="1"/>
  <c r="B34" i="2"/>
  <c r="I34" i="2"/>
  <c r="H20" i="2"/>
  <c r="J20" i="2" s="1"/>
  <c r="K20" i="2" s="1"/>
  <c r="E35" i="2"/>
  <c r="B35" i="2" l="1"/>
  <c r="I35" i="2"/>
  <c r="C35" i="2"/>
  <c r="D34" i="2"/>
  <c r="F34" i="2" s="1"/>
  <c r="G21" i="2"/>
  <c r="E36" i="2"/>
  <c r="C36" i="2" l="1"/>
  <c r="D35" i="2"/>
  <c r="F35" i="2" s="1"/>
  <c r="B36" i="2"/>
  <c r="I36" i="2"/>
  <c r="H21" i="2"/>
  <c r="J21" i="2" s="1"/>
  <c r="K21" i="2" s="1"/>
  <c r="E37" i="2"/>
  <c r="B37" i="2" l="1"/>
  <c r="I37" i="2"/>
  <c r="C37" i="2"/>
  <c r="D36" i="2"/>
  <c r="F36" i="2" s="1"/>
  <c r="G22" i="2"/>
  <c r="E38" i="2"/>
  <c r="B38" i="2" l="1"/>
  <c r="I38" i="2"/>
  <c r="C38" i="2"/>
  <c r="D37" i="2"/>
  <c r="F37" i="2" s="1"/>
  <c r="H22" i="2"/>
  <c r="J22" i="2" s="1"/>
  <c r="K22" i="2" s="1"/>
  <c r="E39" i="2"/>
  <c r="B39" i="2" l="1"/>
  <c r="I39" i="2"/>
  <c r="C39" i="2"/>
  <c r="D38" i="2"/>
  <c r="F38" i="2" s="1"/>
  <c r="G23" i="2"/>
  <c r="E40" i="2"/>
  <c r="C40" i="2" l="1"/>
  <c r="D39" i="2"/>
  <c r="F39" i="2" s="1"/>
  <c r="B40" i="2"/>
  <c r="I40" i="2"/>
  <c r="H23" i="2"/>
  <c r="J23" i="2" s="1"/>
  <c r="K23" i="2" s="1"/>
  <c r="E41" i="2"/>
  <c r="B41" i="2" l="1"/>
  <c r="I41" i="2"/>
  <c r="C41" i="2"/>
  <c r="D41" i="2" s="1"/>
  <c r="F41" i="2" s="1"/>
  <c r="D40" i="2"/>
  <c r="F40" i="2" s="1"/>
  <c r="G24" i="2"/>
  <c r="E42" i="2"/>
  <c r="B42" i="2" l="1"/>
  <c r="I42" i="2"/>
  <c r="C42" i="2"/>
  <c r="D42" i="2" s="1"/>
  <c r="H24" i="2"/>
  <c r="J24" i="2" s="1"/>
  <c r="K24" i="2" s="1"/>
  <c r="E43" i="2"/>
  <c r="F42" i="2" l="1"/>
  <c r="B43" i="2"/>
  <c r="I43" i="2"/>
  <c r="C43" i="2"/>
  <c r="D43" i="2" s="1"/>
  <c r="F43" i="2"/>
  <c r="G25" i="2"/>
  <c r="E44" i="2"/>
  <c r="B44" i="2" l="1"/>
  <c r="C44" i="2"/>
  <c r="D44" i="2" s="1"/>
  <c r="I44" i="2"/>
  <c r="F44" i="2"/>
  <c r="H25" i="2"/>
  <c r="J25" i="2" s="1"/>
  <c r="K25" i="2" s="1"/>
  <c r="E45" i="2"/>
  <c r="B45" i="2" l="1"/>
  <c r="C45" i="2"/>
  <c r="D45" i="2" s="1"/>
  <c r="I45" i="2"/>
  <c r="F45" i="2"/>
  <c r="G26" i="2"/>
  <c r="E46" i="2"/>
  <c r="B46" i="2" l="1"/>
  <c r="I46" i="2"/>
  <c r="C46" i="2"/>
  <c r="D46" i="2" s="1"/>
  <c r="F46" i="2"/>
  <c r="H26" i="2"/>
  <c r="J26" i="2" s="1"/>
  <c r="K26" i="2" s="1"/>
  <c r="E47" i="2"/>
  <c r="B47" i="2" l="1"/>
  <c r="I47" i="2"/>
  <c r="C47" i="2"/>
  <c r="D47" i="2" s="1"/>
  <c r="F47" i="2"/>
  <c r="G27" i="2"/>
  <c r="E48" i="2"/>
  <c r="B48" i="2" l="1"/>
  <c r="I48" i="2"/>
  <c r="C48" i="2"/>
  <c r="D48" i="2" s="1"/>
  <c r="F48" i="2"/>
  <c r="H27" i="2"/>
  <c r="J27" i="2" s="1"/>
  <c r="K27" i="2" s="1"/>
  <c r="E49" i="2"/>
  <c r="B49" i="2" l="1"/>
  <c r="I49" i="2"/>
  <c r="C49" i="2"/>
  <c r="D49" i="2" s="1"/>
  <c r="F49" i="2"/>
  <c r="G28" i="2"/>
  <c r="E50" i="2"/>
  <c r="B50" i="2" l="1"/>
  <c r="C50" i="2"/>
  <c r="D50" i="2" s="1"/>
  <c r="F50" i="2"/>
  <c r="I50" i="2"/>
  <c r="H28" i="2"/>
  <c r="J28" i="2" s="1"/>
  <c r="K28" i="2" s="1"/>
  <c r="E51" i="2"/>
  <c r="B51" i="2" l="1"/>
  <c r="C51" i="2"/>
  <c r="D51" i="2" s="1"/>
  <c r="F51" i="2"/>
  <c r="I51" i="2"/>
  <c r="G29" i="2"/>
  <c r="E52" i="2"/>
  <c r="B52" i="2" l="1"/>
  <c r="C52" i="2"/>
  <c r="D52" i="2" s="1"/>
  <c r="F52" i="2"/>
  <c r="I52" i="2"/>
  <c r="H29" i="2"/>
  <c r="J29" i="2" s="1"/>
  <c r="K29" i="2" s="1"/>
  <c r="E53" i="2"/>
  <c r="B53" i="2" l="1"/>
  <c r="F53" i="2"/>
  <c r="C53" i="2"/>
  <c r="D53" i="2" s="1"/>
  <c r="I53" i="2"/>
  <c r="G30" i="2"/>
  <c r="E54" i="2"/>
  <c r="B54" i="2" l="1"/>
  <c r="I54" i="2"/>
  <c r="C54" i="2"/>
  <c r="D54" i="2" s="1"/>
  <c r="F54" i="2"/>
  <c r="H30" i="2"/>
  <c r="E55" i="2"/>
  <c r="B55" i="2" l="1"/>
  <c r="I55" i="2"/>
  <c r="F55" i="2"/>
  <c r="C55" i="2"/>
  <c r="D55" i="2" s="1"/>
  <c r="J30" i="2"/>
  <c r="E56" i="2"/>
  <c r="B56" i="2" l="1"/>
  <c r="I56" i="2"/>
  <c r="C56" i="2"/>
  <c r="D56" i="2" s="1"/>
  <c r="F56" i="2"/>
  <c r="G31" i="2"/>
  <c r="H31" i="2" s="1"/>
  <c r="J31" i="2" s="1"/>
  <c r="K30" i="2"/>
  <c r="E57" i="2"/>
  <c r="B57" i="2" l="1"/>
  <c r="I57" i="2"/>
  <c r="F57" i="2"/>
  <c r="C57" i="2"/>
  <c r="D57" i="2" s="1"/>
  <c r="G32" i="2"/>
  <c r="H32" i="2" s="1"/>
  <c r="J32" i="2" s="1"/>
  <c r="K32" i="2" s="1"/>
  <c r="K31" i="2"/>
  <c r="E58" i="2"/>
  <c r="B58" i="2" l="1"/>
  <c r="C58" i="2"/>
  <c r="D58" i="2" s="1"/>
  <c r="F58" i="2"/>
  <c r="I58" i="2"/>
  <c r="G33" i="2"/>
  <c r="E59" i="2"/>
  <c r="B59" i="2" l="1"/>
  <c r="F59" i="2"/>
  <c r="C59" i="2"/>
  <c r="D59" i="2" s="1"/>
  <c r="I59" i="2"/>
  <c r="H33" i="2"/>
  <c r="J33" i="2" s="1"/>
  <c r="K33" i="2" s="1"/>
  <c r="E60" i="2"/>
  <c r="B60" i="2" l="1"/>
  <c r="C60" i="2"/>
  <c r="D60" i="2" s="1"/>
  <c r="I60" i="2"/>
  <c r="F60" i="2"/>
  <c r="G34" i="2"/>
  <c r="E61" i="2"/>
  <c r="B61" i="2" l="1"/>
  <c r="I61" i="2"/>
  <c r="F61" i="2"/>
  <c r="C61" i="2"/>
  <c r="D61" i="2" s="1"/>
  <c r="H34" i="2"/>
  <c r="E62" i="2"/>
  <c r="B62" i="2" l="1"/>
  <c r="I62" i="2"/>
  <c r="C62" i="2"/>
  <c r="D62" i="2" s="1"/>
  <c r="F62" i="2"/>
  <c r="J34" i="2"/>
  <c r="E63" i="2"/>
  <c r="B63" i="2" l="1"/>
  <c r="I63" i="2"/>
  <c r="F63" i="2"/>
  <c r="C63" i="2"/>
  <c r="D63" i="2" s="1"/>
  <c r="G35" i="2"/>
  <c r="H35" i="2" s="1"/>
  <c r="K34" i="2"/>
  <c r="E64" i="2"/>
  <c r="B64" i="2" l="1"/>
  <c r="I64" i="2"/>
  <c r="F64" i="2"/>
  <c r="C64" i="2"/>
  <c r="D64" i="2" s="1"/>
  <c r="J35" i="2"/>
  <c r="E65" i="2"/>
  <c r="B65" i="2" l="1"/>
  <c r="I65" i="2"/>
  <c r="C65" i="2"/>
  <c r="D65" i="2" s="1"/>
  <c r="F65" i="2"/>
  <c r="G36" i="2"/>
  <c r="H36" i="2" s="1"/>
  <c r="J36" i="2" s="1"/>
  <c r="K35" i="2"/>
  <c r="E66" i="2"/>
  <c r="B66" i="2" l="1"/>
  <c r="C66" i="2"/>
  <c r="D66" i="2" s="1"/>
  <c r="F66" i="2"/>
  <c r="I66" i="2"/>
  <c r="G37" i="2"/>
  <c r="H37" i="2" s="1"/>
  <c r="J37" i="2" s="1"/>
  <c r="K36" i="2"/>
  <c r="E67" i="2"/>
  <c r="B67" i="2" l="1"/>
  <c r="C67" i="2"/>
  <c r="D67" i="2" s="1"/>
  <c r="F67" i="2"/>
  <c r="I67" i="2"/>
  <c r="G38" i="2"/>
  <c r="H38" i="2" s="1"/>
  <c r="J38" i="2" s="1"/>
  <c r="K38" i="2" s="1"/>
  <c r="K37" i="2"/>
  <c r="E68" i="2"/>
  <c r="B68" i="2" l="1"/>
  <c r="C68" i="2"/>
  <c r="D68" i="2" s="1"/>
  <c r="F68" i="2"/>
  <c r="I68" i="2"/>
  <c r="G39" i="2"/>
  <c r="E69" i="2"/>
  <c r="B69" i="2" l="1"/>
  <c r="C69" i="2"/>
  <c r="D69" i="2" s="1"/>
  <c r="F69" i="2"/>
  <c r="I69" i="2"/>
  <c r="H39" i="2"/>
  <c r="J39" i="2" s="1"/>
  <c r="K39" i="2" s="1"/>
  <c r="E70" i="2"/>
  <c r="B70" i="2" l="1"/>
  <c r="I70" i="2"/>
  <c r="C70" i="2"/>
  <c r="D70" i="2" s="1"/>
  <c r="F70" i="2"/>
  <c r="G40" i="2"/>
  <c r="E71" i="2"/>
  <c r="B71" i="2" l="1"/>
  <c r="I71" i="2"/>
  <c r="C71" i="2"/>
  <c r="D71" i="2" s="1"/>
  <c r="F71" i="2"/>
  <c r="H40" i="2"/>
  <c r="J40" i="2" s="1"/>
  <c r="K40" i="2" s="1"/>
  <c r="E72" i="2"/>
  <c r="B72" i="2" l="1"/>
  <c r="I72" i="2"/>
  <c r="F72" i="2"/>
  <c r="C72" i="2"/>
  <c r="D72" i="2" s="1"/>
  <c r="G41" i="2"/>
  <c r="E73" i="2"/>
  <c r="B73" i="2" l="1"/>
  <c r="I73" i="2"/>
  <c r="F73" i="2"/>
  <c r="C73" i="2"/>
  <c r="D73" i="2" s="1"/>
  <c r="H41" i="2"/>
  <c r="E74" i="2"/>
  <c r="B74" i="2" l="1"/>
  <c r="C74" i="2"/>
  <c r="D74" i="2" s="1"/>
  <c r="F74" i="2"/>
  <c r="I74" i="2"/>
  <c r="J41" i="2"/>
  <c r="E75" i="2"/>
  <c r="B75" i="2" l="1"/>
  <c r="F75" i="2"/>
  <c r="I75" i="2"/>
  <c r="C75" i="2"/>
  <c r="D75" i="2" s="1"/>
  <c r="G42" i="2"/>
  <c r="H42" i="2" s="1"/>
  <c r="J42" i="2" s="1"/>
  <c r="K41" i="2"/>
  <c r="E76" i="2"/>
  <c r="B76" i="2" l="1"/>
  <c r="I76" i="2"/>
  <c r="F76" i="2"/>
  <c r="C76" i="2"/>
  <c r="D76" i="2" s="1"/>
  <c r="G43" i="2"/>
  <c r="H43" i="2" s="1"/>
  <c r="J43" i="2" s="1"/>
  <c r="K43" i="2" s="1"/>
  <c r="K42" i="2"/>
  <c r="E77" i="2"/>
  <c r="B77" i="2" l="1"/>
  <c r="C77" i="2"/>
  <c r="D77" i="2" s="1"/>
  <c r="I77" i="2"/>
  <c r="F77" i="2"/>
  <c r="G44" i="2"/>
  <c r="E78" i="2"/>
  <c r="B78" i="2" l="1"/>
  <c r="I78" i="2"/>
  <c r="C78" i="2"/>
  <c r="D78" i="2" s="1"/>
  <c r="F78" i="2"/>
  <c r="H44" i="2"/>
  <c r="E79" i="2"/>
  <c r="B79" i="2" l="1"/>
  <c r="I79" i="2"/>
  <c r="C79" i="2"/>
  <c r="D79" i="2" s="1"/>
  <c r="F79" i="2"/>
  <c r="J44" i="2"/>
  <c r="E80" i="2"/>
  <c r="B80" i="2" l="1"/>
  <c r="I80" i="2"/>
  <c r="F80" i="2"/>
  <c r="C80" i="2"/>
  <c r="D80" i="2" s="1"/>
  <c r="G45" i="2"/>
  <c r="H45" i="2" s="1"/>
  <c r="J45" i="2" s="1"/>
  <c r="K44" i="2"/>
  <c r="E81" i="2"/>
  <c r="B81" i="2" l="1"/>
  <c r="I81" i="2"/>
  <c r="F81" i="2"/>
  <c r="C81" i="2"/>
  <c r="D81" i="2" s="1"/>
  <c r="G46" i="2"/>
  <c r="H46" i="2" s="1"/>
  <c r="J46" i="2" s="1"/>
  <c r="K46" i="2" s="1"/>
  <c r="K45" i="2"/>
  <c r="E82" i="2"/>
  <c r="B82" i="2" l="1"/>
  <c r="F82" i="2"/>
  <c r="I82" i="2"/>
  <c r="C82" i="2"/>
  <c r="D82" i="2" s="1"/>
  <c r="G47" i="2"/>
  <c r="E83" i="2"/>
  <c r="B83" i="2" l="1"/>
  <c r="F83" i="2"/>
  <c r="C83" i="2"/>
  <c r="D83" i="2" s="1"/>
  <c r="I83" i="2"/>
  <c r="H47" i="2"/>
  <c r="J47" i="2" s="1"/>
  <c r="K47" i="2" s="1"/>
  <c r="E84" i="2"/>
  <c r="B84" i="2" l="1"/>
  <c r="F84" i="2"/>
  <c r="C84" i="2"/>
  <c r="D84" i="2" s="1"/>
  <c r="I84" i="2"/>
  <c r="G48" i="2"/>
  <c r="E85" i="2"/>
  <c r="B85" i="2" l="1"/>
  <c r="C85" i="2"/>
  <c r="D85" i="2" s="1"/>
  <c r="F85" i="2"/>
  <c r="I85" i="2"/>
  <c r="H48" i="2"/>
  <c r="E86" i="2"/>
  <c r="B86" i="2" l="1"/>
  <c r="I86" i="2"/>
  <c r="C86" i="2"/>
  <c r="D86" i="2" s="1"/>
  <c r="F86" i="2"/>
  <c r="J48" i="2"/>
  <c r="E87" i="2"/>
  <c r="B87" i="2" l="1"/>
  <c r="I87" i="2"/>
  <c r="C87" i="2"/>
  <c r="D87" i="2" s="1"/>
  <c r="F87" i="2"/>
  <c r="G49" i="2"/>
  <c r="H49" i="2" s="1"/>
  <c r="J49" i="2" s="1"/>
  <c r="K48" i="2"/>
  <c r="E88" i="2"/>
  <c r="B88" i="2" l="1"/>
  <c r="I88" i="2"/>
  <c r="C88" i="2"/>
  <c r="D88" i="2" s="1"/>
  <c r="F88" i="2"/>
  <c r="G50" i="2"/>
  <c r="K49" i="2"/>
  <c r="H50" i="2"/>
  <c r="J50" i="2" s="1"/>
  <c r="K50" i="2" s="1"/>
  <c r="E89" i="2"/>
  <c r="B89" i="2" l="1"/>
  <c r="C89" i="2"/>
  <c r="D89" i="2" s="1"/>
  <c r="I89" i="2"/>
  <c r="F89" i="2"/>
  <c r="G51" i="2"/>
  <c r="E90" i="2"/>
  <c r="B90" i="2" l="1"/>
  <c r="F90" i="2"/>
  <c r="C90" i="2"/>
  <c r="D90" i="2" s="1"/>
  <c r="I90" i="2"/>
  <c r="H51" i="2"/>
  <c r="E91" i="2"/>
  <c r="B91" i="2" l="1"/>
  <c r="I91" i="2"/>
  <c r="F91" i="2"/>
  <c r="C91" i="2"/>
  <c r="D91" i="2" s="1"/>
  <c r="J51" i="2"/>
  <c r="E92" i="2"/>
  <c r="B92" i="2" l="1"/>
  <c r="I92" i="2"/>
  <c r="C92" i="2"/>
  <c r="D92" i="2" s="1"/>
  <c r="F92" i="2"/>
  <c r="G52" i="2"/>
  <c r="H52" i="2" s="1"/>
  <c r="J52" i="2" s="1"/>
  <c r="K51" i="2"/>
  <c r="E93" i="2"/>
  <c r="B93" i="2" l="1"/>
  <c r="C93" i="2"/>
  <c r="D93" i="2" s="1"/>
  <c r="I93" i="2"/>
  <c r="F93" i="2"/>
  <c r="G53" i="2"/>
  <c r="H53" i="2" s="1"/>
  <c r="J53" i="2" s="1"/>
  <c r="K53" i="2" s="1"/>
  <c r="K52" i="2"/>
  <c r="E94" i="2"/>
  <c r="B94" i="2" l="1"/>
  <c r="I94" i="2"/>
  <c r="C94" i="2"/>
  <c r="D94" i="2" s="1"/>
  <c r="F94" i="2"/>
  <c r="G54" i="2"/>
  <c r="E95" i="2"/>
  <c r="B95" i="2" l="1"/>
  <c r="I95" i="2"/>
  <c r="C95" i="2"/>
  <c r="D95" i="2" s="1"/>
  <c r="F95" i="2"/>
  <c r="H54" i="2"/>
  <c r="J54" i="2" s="1"/>
  <c r="K54" i="2" s="1"/>
  <c r="E96" i="2"/>
  <c r="B96" i="2" l="1"/>
  <c r="I96" i="2"/>
  <c r="C96" i="2"/>
  <c r="D96" i="2" s="1"/>
  <c r="F96" i="2"/>
  <c r="G55" i="2"/>
  <c r="E97" i="2"/>
  <c r="B97" i="2" l="1"/>
  <c r="I97" i="2"/>
  <c r="C97" i="2"/>
  <c r="D97" i="2" s="1"/>
  <c r="F97" i="2"/>
  <c r="H55" i="2"/>
  <c r="J55" i="2" s="1"/>
  <c r="K55" i="2" s="1"/>
  <c r="E98" i="2"/>
  <c r="B98" i="2" l="1"/>
  <c r="F98" i="2"/>
  <c r="I98" i="2"/>
  <c r="C98" i="2"/>
  <c r="D98" i="2" s="1"/>
  <c r="G56" i="2"/>
  <c r="E99" i="2"/>
  <c r="B99" i="2" l="1"/>
  <c r="F99" i="2"/>
  <c r="I99" i="2"/>
  <c r="C99" i="2"/>
  <c r="D99" i="2" s="1"/>
  <c r="H56" i="2"/>
  <c r="J56" i="2" s="1"/>
  <c r="K56" i="2" s="1"/>
  <c r="E100" i="2"/>
  <c r="B100" i="2" l="1"/>
  <c r="I100" i="2"/>
  <c r="F100" i="2"/>
  <c r="C100" i="2"/>
  <c r="D100" i="2" s="1"/>
  <c r="G57" i="2"/>
  <c r="E101" i="2"/>
  <c r="B101" i="2" l="1"/>
  <c r="C101" i="2"/>
  <c r="D101" i="2" s="1"/>
  <c r="I101" i="2"/>
  <c r="F101" i="2"/>
  <c r="H57" i="2"/>
  <c r="J57" i="2" s="1"/>
  <c r="K57" i="2" s="1"/>
  <c r="G58" i="2" l="1"/>
  <c r="H58" i="2" l="1"/>
  <c r="J58" i="2" s="1"/>
  <c r="K58" i="2" s="1"/>
  <c r="G59" i="2" l="1"/>
  <c r="H59" i="2" l="1"/>
  <c r="J59" i="2" s="1"/>
  <c r="K59" i="2" s="1"/>
  <c r="G60" i="2" l="1"/>
  <c r="H60" i="2" l="1"/>
  <c r="J60" i="2" s="1"/>
  <c r="K60" i="2" s="1"/>
  <c r="G61" i="2" l="1"/>
  <c r="H61" i="2" l="1"/>
  <c r="J61" i="2" s="1"/>
  <c r="K61" i="2" s="1"/>
  <c r="G62" i="2" l="1"/>
  <c r="H62" i="2" l="1"/>
  <c r="J62" i="2" s="1"/>
  <c r="K62" i="2" s="1"/>
  <c r="G63" i="2" l="1"/>
  <c r="H63" i="2" l="1"/>
  <c r="J63" i="2" s="1"/>
  <c r="K63" i="2" s="1"/>
  <c r="G64" i="2" l="1"/>
  <c r="H64" i="2" l="1"/>
  <c r="J64" i="2" s="1"/>
  <c r="K64" i="2" s="1"/>
  <c r="G65" i="2" l="1"/>
  <c r="H65" i="2" l="1"/>
  <c r="J65" i="2" s="1"/>
  <c r="K65" i="2" s="1"/>
  <c r="G66" i="2" l="1"/>
  <c r="H66" i="2" l="1"/>
  <c r="J66" i="2" l="1"/>
  <c r="G67" i="2" l="1"/>
  <c r="H67" i="2" s="1"/>
  <c r="J67" i="2" s="1"/>
  <c r="K66" i="2"/>
  <c r="G68" i="2" l="1"/>
  <c r="H68" i="2" s="1"/>
  <c r="J68" i="2" s="1"/>
  <c r="K68" i="2" s="1"/>
  <c r="K67" i="2"/>
  <c r="G69" i="2" l="1"/>
  <c r="H69" i="2" l="1"/>
  <c r="J69" i="2" s="1"/>
  <c r="K69" i="2" s="1"/>
  <c r="G70" i="2" l="1"/>
  <c r="H70" i="2" l="1"/>
  <c r="J70" i="2" s="1"/>
  <c r="K70" i="2" s="1"/>
  <c r="G71" i="2" l="1"/>
  <c r="H71" i="2" l="1"/>
  <c r="J71" i="2" s="1"/>
  <c r="K71" i="2" s="1"/>
  <c r="G72" i="2" l="1"/>
  <c r="H72" i="2" l="1"/>
  <c r="J72" i="2" s="1"/>
  <c r="K72" i="2" s="1"/>
  <c r="G73" i="2" l="1"/>
  <c r="H73" i="2" l="1"/>
  <c r="J73" i="2" s="1"/>
  <c r="K73" i="2" s="1"/>
  <c r="G74" i="2" l="1"/>
  <c r="H74" i="2" l="1"/>
  <c r="J74" i="2" s="1"/>
  <c r="K74" i="2" s="1"/>
  <c r="G75" i="2" l="1"/>
  <c r="H75" i="2" l="1"/>
  <c r="J75" i="2" s="1"/>
  <c r="K75" i="2" s="1"/>
  <c r="G76" i="2" l="1"/>
  <c r="H76" i="2" l="1"/>
  <c r="J76" i="2" s="1"/>
  <c r="K76" i="2" s="1"/>
  <c r="G77" i="2" l="1"/>
  <c r="H77" i="2" l="1"/>
  <c r="J77" i="2" s="1"/>
  <c r="K77" i="2" s="1"/>
  <c r="G78" i="2" l="1"/>
  <c r="H78" i="2" l="1"/>
  <c r="J78" i="2" s="1"/>
  <c r="K78" i="2" s="1"/>
  <c r="G79" i="2" l="1"/>
  <c r="H79" i="2" l="1"/>
  <c r="J79" i="2" l="1"/>
  <c r="G80" i="2" l="1"/>
  <c r="H80" i="2" s="1"/>
  <c r="J80" i="2" s="1"/>
  <c r="K79" i="2"/>
  <c r="G81" i="2" l="1"/>
  <c r="H81" i="2" s="1"/>
  <c r="J81" i="2" s="1"/>
  <c r="K81" i="2" s="1"/>
  <c r="K80" i="2"/>
  <c r="G82" i="2" l="1"/>
  <c r="H82" i="2" l="1"/>
  <c r="J82" i="2" s="1"/>
  <c r="K82" i="2" s="1"/>
  <c r="G83" i="2" l="1"/>
  <c r="H83" i="2" l="1"/>
  <c r="J83" i="2" s="1"/>
  <c r="K83" i="2" s="1"/>
  <c r="G84" i="2" l="1"/>
  <c r="H84" i="2" l="1"/>
  <c r="J84" i="2" s="1"/>
  <c r="K84" i="2" s="1"/>
  <c r="G85" i="2" l="1"/>
  <c r="H85" i="2" l="1"/>
  <c r="J85" i="2" s="1"/>
  <c r="K85" i="2" s="1"/>
  <c r="G86" i="2" l="1"/>
  <c r="H86" i="2" l="1"/>
  <c r="J86" i="2" s="1"/>
  <c r="K86" i="2" s="1"/>
  <c r="G87" i="2" l="1"/>
  <c r="H87" i="2" l="1"/>
  <c r="J87" i="2" s="1"/>
  <c r="K87" i="2" s="1"/>
  <c r="G88" i="2" l="1"/>
  <c r="H88" i="2" l="1"/>
  <c r="J88" i="2" s="1"/>
  <c r="K88" i="2" s="1"/>
  <c r="G89" i="2" l="1"/>
  <c r="H89" i="2" l="1"/>
  <c r="J89" i="2" s="1"/>
  <c r="K89" i="2" s="1"/>
  <c r="G90" i="2" l="1"/>
  <c r="H90" i="2" l="1"/>
  <c r="J90" i="2" s="1"/>
  <c r="K90" i="2" s="1"/>
  <c r="G91" i="2" l="1"/>
  <c r="H91" i="2" l="1"/>
  <c r="J91" i="2" s="1"/>
  <c r="K91" i="2" s="1"/>
  <c r="G92" i="2" l="1"/>
  <c r="H92" i="2" l="1"/>
  <c r="J92" i="2" l="1"/>
  <c r="G93" i="2" l="1"/>
  <c r="H93" i="2" s="1"/>
  <c r="J93" i="2" s="1"/>
  <c r="K92" i="2"/>
  <c r="G94" i="2" l="1"/>
  <c r="H94" i="2" s="1"/>
  <c r="J94" i="2" s="1"/>
  <c r="K94" i="2" s="1"/>
  <c r="K93" i="2"/>
  <c r="G95" i="2" l="1"/>
  <c r="H95" i="2" l="1"/>
  <c r="J95" i="2" s="1"/>
  <c r="K95" i="2" s="1"/>
  <c r="G96" i="2" l="1"/>
  <c r="H96" i="2" l="1"/>
  <c r="J96" i="2" s="1"/>
  <c r="K96" i="2" s="1"/>
  <c r="G97" i="2" l="1"/>
  <c r="H97" i="2" l="1"/>
  <c r="J97" i="2" l="1"/>
  <c r="G98" i="2" l="1"/>
  <c r="H98" i="2" s="1"/>
  <c r="J98" i="2" s="1"/>
  <c r="K97" i="2"/>
  <c r="G99" i="2" l="1"/>
  <c r="H99" i="2" s="1"/>
  <c r="J99" i="2" s="1"/>
  <c r="K99" i="2" s="1"/>
  <c r="K98" i="2"/>
  <c r="G100" i="2" l="1"/>
  <c r="H100" i="2" l="1"/>
  <c r="J100" i="2" s="1"/>
  <c r="K100" i="2" s="1"/>
  <c r="G101" i="2" l="1"/>
  <c r="H101" i="2" l="1"/>
  <c r="J101" i="2" s="1"/>
  <c r="K101" i="2" l="1"/>
  <c r="B8" i="3"/>
  <c r="B9" i="3" l="1"/>
  <c r="D1" i="1" l="1"/>
  <c r="A3" i="5"/>
  <c r="I3" i="5"/>
  <c r="G4" i="5"/>
  <c r="E5" i="5"/>
  <c r="C6" i="5"/>
  <c r="A7" i="5"/>
  <c r="I7" i="5"/>
  <c r="G8" i="5"/>
  <c r="E9" i="5"/>
  <c r="C10" i="5"/>
  <c r="A11" i="5"/>
  <c r="I11" i="5"/>
  <c r="G12" i="5"/>
  <c r="E13" i="5"/>
  <c r="C14" i="5"/>
  <c r="A15" i="5"/>
  <c r="I15" i="5"/>
  <c r="G16" i="5"/>
  <c r="E17" i="5"/>
  <c r="C18" i="5"/>
  <c r="A19" i="5"/>
  <c r="I19" i="5"/>
  <c r="G20" i="5"/>
  <c r="E21" i="5"/>
  <c r="C22" i="5"/>
  <c r="A23" i="5"/>
  <c r="I23" i="5"/>
  <c r="G24" i="5"/>
  <c r="E25" i="5"/>
  <c r="C26" i="5"/>
  <c r="A27" i="5"/>
  <c r="I27" i="5"/>
  <c r="G28" i="5"/>
  <c r="E29" i="5"/>
  <c r="C30" i="5"/>
  <c r="A31" i="5"/>
  <c r="I31" i="5"/>
  <c r="G32" i="5"/>
  <c r="E33" i="5"/>
  <c r="C34" i="5"/>
  <c r="A35" i="5"/>
  <c r="I35" i="5"/>
  <c r="G36" i="5"/>
  <c r="E37" i="5"/>
  <c r="C38" i="5"/>
  <c r="A39" i="5"/>
  <c r="I39" i="5"/>
  <c r="G40" i="5"/>
  <c r="E41" i="5"/>
  <c r="C42" i="5"/>
  <c r="A43" i="5"/>
  <c r="I43" i="5"/>
  <c r="G44" i="5"/>
  <c r="E45" i="5"/>
  <c r="C46" i="5"/>
  <c r="A47" i="5"/>
  <c r="I47" i="5"/>
  <c r="G48" i="5"/>
  <c r="E49" i="5"/>
  <c r="C50" i="5"/>
  <c r="A51" i="5"/>
  <c r="I51" i="5"/>
  <c r="G52" i="5"/>
  <c r="E53" i="5"/>
  <c r="C54" i="5"/>
  <c r="A55" i="5"/>
  <c r="I55" i="5"/>
  <c r="G56" i="5"/>
  <c r="B3" i="5"/>
  <c r="J3" i="5"/>
  <c r="H4" i="5"/>
  <c r="F5" i="5"/>
  <c r="D6" i="5"/>
  <c r="B7" i="5"/>
  <c r="J7" i="5"/>
  <c r="H8" i="5"/>
  <c r="F9" i="5"/>
  <c r="D10" i="5"/>
  <c r="B11" i="5"/>
  <c r="J11" i="5"/>
  <c r="H12" i="5"/>
  <c r="F13" i="5"/>
  <c r="D14" i="5"/>
  <c r="B15" i="5"/>
  <c r="J15" i="5"/>
  <c r="H16" i="5"/>
  <c r="F17" i="5"/>
  <c r="D18" i="5"/>
  <c r="B19" i="5"/>
  <c r="J19" i="5"/>
  <c r="H20" i="5"/>
  <c r="F21" i="5"/>
  <c r="D22" i="5"/>
  <c r="B23" i="5"/>
  <c r="J23" i="5"/>
  <c r="H24" i="5"/>
  <c r="F25" i="5"/>
  <c r="D26" i="5"/>
  <c r="B27" i="5"/>
  <c r="J27" i="5"/>
  <c r="H28" i="5"/>
  <c r="F29" i="5"/>
  <c r="D30" i="5"/>
  <c r="B31" i="5"/>
  <c r="J31" i="5"/>
  <c r="H32" i="5"/>
  <c r="F33" i="5"/>
  <c r="D34" i="5"/>
  <c r="B35" i="5"/>
  <c r="J35" i="5"/>
  <c r="H36" i="5"/>
  <c r="F37" i="5"/>
  <c r="D38" i="5"/>
  <c r="B39" i="5"/>
  <c r="J39" i="5"/>
  <c r="H40" i="5"/>
  <c r="F41" i="5"/>
  <c r="D42" i="5"/>
  <c r="B43" i="5"/>
  <c r="J43" i="5"/>
  <c r="H44" i="5"/>
  <c r="F45" i="5"/>
  <c r="D46" i="5"/>
  <c r="B47" i="5"/>
  <c r="J47" i="5"/>
  <c r="H48" i="5"/>
  <c r="F49" i="5"/>
  <c r="D50" i="5"/>
  <c r="B51" i="5"/>
  <c r="J51" i="5"/>
  <c r="H52" i="5"/>
  <c r="F53" i="5"/>
  <c r="D54" i="5"/>
  <c r="B55" i="5"/>
  <c r="J55" i="5"/>
  <c r="H56" i="5"/>
  <c r="F57" i="5"/>
  <c r="D58" i="5"/>
  <c r="B59" i="5"/>
  <c r="J59" i="5"/>
  <c r="H60" i="5"/>
  <c r="F61" i="5"/>
  <c r="D62" i="5"/>
  <c r="B63" i="5"/>
  <c r="J63" i="5"/>
  <c r="H64" i="5"/>
  <c r="F65" i="5"/>
  <c r="D66" i="5"/>
  <c r="B67" i="5"/>
  <c r="J67" i="5"/>
  <c r="H68" i="5"/>
  <c r="F69" i="5"/>
  <c r="D70" i="5"/>
  <c r="C3" i="5"/>
  <c r="A4" i="5"/>
  <c r="I4" i="5"/>
  <c r="G5" i="5"/>
  <c r="E6" i="5"/>
  <c r="C7" i="5"/>
  <c r="A8" i="5"/>
  <c r="I8" i="5"/>
  <c r="G9" i="5"/>
  <c r="E10" i="5"/>
  <c r="C11" i="5"/>
  <c r="A12" i="5"/>
  <c r="I12" i="5"/>
  <c r="G13" i="5"/>
  <c r="E14" i="5"/>
  <c r="C15" i="5"/>
  <c r="A16" i="5"/>
  <c r="I16" i="5"/>
  <c r="G17" i="5"/>
  <c r="E18" i="5"/>
  <c r="C19" i="5"/>
  <c r="A20" i="5"/>
  <c r="I20" i="5"/>
  <c r="G21" i="5"/>
  <c r="E22" i="5"/>
  <c r="C23" i="5"/>
  <c r="A24" i="5"/>
  <c r="I24" i="5"/>
  <c r="G25" i="5"/>
  <c r="E26" i="5"/>
  <c r="C27" i="5"/>
  <c r="A28" i="5"/>
  <c r="I28" i="5"/>
  <c r="G29" i="5"/>
  <c r="E30" i="5"/>
  <c r="C31" i="5"/>
  <c r="A32" i="5"/>
  <c r="I32" i="5"/>
  <c r="G33" i="5"/>
  <c r="E34" i="5"/>
  <c r="C35" i="5"/>
  <c r="A36" i="5"/>
  <c r="I36" i="5"/>
  <c r="G37" i="5"/>
  <c r="E38" i="5"/>
  <c r="C39" i="5"/>
  <c r="A40" i="5"/>
  <c r="I40" i="5"/>
  <c r="G41" i="5"/>
  <c r="E42" i="5"/>
  <c r="C43" i="5"/>
  <c r="A44" i="5"/>
  <c r="I44" i="5"/>
  <c r="G45" i="5"/>
  <c r="E46" i="5"/>
  <c r="C47" i="5"/>
  <c r="A48" i="5"/>
  <c r="I48" i="5"/>
  <c r="G49" i="5"/>
  <c r="E50" i="5"/>
  <c r="C51" i="5"/>
  <c r="D3" i="5"/>
  <c r="B4" i="5"/>
  <c r="E3" i="5"/>
  <c r="C4" i="5"/>
  <c r="A5" i="5"/>
  <c r="I5" i="5"/>
  <c r="G6" i="5"/>
  <c r="E7" i="5"/>
  <c r="C8" i="5"/>
  <c r="A9" i="5"/>
  <c r="I9" i="5"/>
  <c r="G10" i="5"/>
  <c r="E11" i="5"/>
  <c r="C12" i="5"/>
  <c r="A13" i="5"/>
  <c r="I13" i="5"/>
  <c r="G14" i="5"/>
  <c r="E15" i="5"/>
  <c r="C16" i="5"/>
  <c r="A17" i="5"/>
  <c r="I17" i="5"/>
  <c r="G18" i="5"/>
  <c r="E19" i="5"/>
  <c r="C20" i="5"/>
  <c r="A21" i="5"/>
  <c r="I21" i="5"/>
  <c r="G22" i="5"/>
  <c r="E23" i="5"/>
  <c r="C24" i="5"/>
  <c r="A25" i="5"/>
  <c r="I25" i="5"/>
  <c r="G26" i="5"/>
  <c r="E27" i="5"/>
  <c r="C28" i="5"/>
  <c r="A29" i="5"/>
  <c r="I29" i="5"/>
  <c r="G30" i="5"/>
  <c r="E31" i="5"/>
  <c r="C32" i="5"/>
  <c r="A33" i="5"/>
  <c r="I33" i="5"/>
  <c r="G34" i="5"/>
  <c r="E35" i="5"/>
  <c r="C36" i="5"/>
  <c r="A37" i="5"/>
  <c r="I37" i="5"/>
  <c r="G38" i="5"/>
  <c r="E39" i="5"/>
  <c r="C40" i="5"/>
  <c r="A41" i="5"/>
  <c r="F3" i="5"/>
  <c r="D4" i="5"/>
  <c r="B5" i="5"/>
  <c r="J5" i="5"/>
  <c r="H6" i="5"/>
  <c r="F7" i="5"/>
  <c r="D8" i="5"/>
  <c r="B9" i="5"/>
  <c r="J9" i="5"/>
  <c r="H10" i="5"/>
  <c r="F11" i="5"/>
  <c r="D12" i="5"/>
  <c r="B13" i="5"/>
  <c r="J13" i="5"/>
  <c r="H14" i="5"/>
  <c r="F15" i="5"/>
  <c r="D16" i="5"/>
  <c r="B17" i="5"/>
  <c r="J17" i="5"/>
  <c r="H18" i="5"/>
  <c r="F19" i="5"/>
  <c r="D20" i="5"/>
  <c r="B21" i="5"/>
  <c r="J21" i="5"/>
  <c r="H22" i="5"/>
  <c r="F23" i="5"/>
  <c r="D24" i="5"/>
  <c r="B25" i="5"/>
  <c r="J25" i="5"/>
  <c r="H26" i="5"/>
  <c r="F27" i="5"/>
  <c r="D28" i="5"/>
  <c r="B29" i="5"/>
  <c r="J29" i="5"/>
  <c r="H30" i="5"/>
  <c r="F31" i="5"/>
  <c r="D32" i="5"/>
  <c r="B33" i="5"/>
  <c r="J33" i="5"/>
  <c r="H34" i="5"/>
  <c r="F35" i="5"/>
  <c r="D36" i="5"/>
  <c r="G3" i="5"/>
  <c r="E4" i="5"/>
  <c r="C5" i="5"/>
  <c r="A6" i="5"/>
  <c r="I6" i="5"/>
  <c r="G7" i="5"/>
  <c r="E8" i="5"/>
  <c r="C9" i="5"/>
  <c r="A10" i="5"/>
  <c r="I10" i="5"/>
  <c r="G11" i="5"/>
  <c r="E12" i="5"/>
  <c r="C13" i="5"/>
  <c r="A14" i="5"/>
  <c r="I14" i="5"/>
  <c r="G15" i="5"/>
  <c r="E16" i="5"/>
  <c r="C17" i="5"/>
  <c r="A18" i="5"/>
  <c r="I18" i="5"/>
  <c r="G19" i="5"/>
  <c r="E20" i="5"/>
  <c r="C21" i="5"/>
  <c r="A22" i="5"/>
  <c r="I22" i="5"/>
  <c r="G23" i="5"/>
  <c r="E24" i="5"/>
  <c r="C25" i="5"/>
  <c r="A26" i="5"/>
  <c r="I26" i="5"/>
  <c r="G27" i="5"/>
  <c r="E28" i="5"/>
  <c r="C29" i="5"/>
  <c r="A30" i="5"/>
  <c r="I30" i="5"/>
  <c r="G31" i="5"/>
  <c r="E32" i="5"/>
  <c r="C33" i="5"/>
  <c r="A34" i="5"/>
  <c r="I34" i="5"/>
  <c r="G35" i="5"/>
  <c r="E36" i="5"/>
  <c r="C37" i="5"/>
  <c r="A38" i="5"/>
  <c r="I38" i="5"/>
  <c r="G39" i="5"/>
  <c r="E40" i="5"/>
  <c r="C41" i="5"/>
  <c r="A42" i="5"/>
  <c r="I42" i="5"/>
  <c r="G43" i="5"/>
  <c r="E44" i="5"/>
  <c r="C45" i="5"/>
  <c r="A46" i="5"/>
  <c r="I46" i="5"/>
  <c r="G47" i="5"/>
  <c r="E48" i="5"/>
  <c r="C49" i="5"/>
  <c r="A50" i="5"/>
  <c r="I50" i="5"/>
  <c r="G51" i="5"/>
  <c r="E52" i="5"/>
  <c r="C53" i="5"/>
  <c r="A54" i="5"/>
  <c r="I54" i="5"/>
  <c r="G55" i="5"/>
  <c r="E56" i="5"/>
  <c r="C57" i="5"/>
  <c r="A58" i="5"/>
  <c r="I58" i="5"/>
  <c r="G59" i="5"/>
  <c r="E60" i="5"/>
  <c r="C61" i="5"/>
  <c r="A62" i="5"/>
  <c r="I62" i="5"/>
  <c r="G63" i="5"/>
  <c r="E64" i="5"/>
  <c r="H3" i="5"/>
  <c r="F4" i="5"/>
  <c r="D5" i="5"/>
  <c r="B6" i="5"/>
  <c r="J6" i="5"/>
  <c r="H7" i="5"/>
  <c r="F8" i="5"/>
  <c r="D9" i="5"/>
  <c r="B10" i="5"/>
  <c r="J10" i="5"/>
  <c r="H11" i="5"/>
  <c r="F12" i="5"/>
  <c r="D13" i="5"/>
  <c r="B14" i="5"/>
  <c r="J14" i="5"/>
  <c r="H15" i="5"/>
  <c r="F16" i="5"/>
  <c r="D17" i="5"/>
  <c r="B18" i="5"/>
  <c r="J18" i="5"/>
  <c r="H19" i="5"/>
  <c r="F20" i="5"/>
  <c r="D21" i="5"/>
  <c r="B22" i="5"/>
  <c r="J22" i="5"/>
  <c r="H23" i="5"/>
  <c r="F24" i="5"/>
  <c r="D25" i="5"/>
  <c r="B26" i="5"/>
  <c r="J26" i="5"/>
  <c r="H27" i="5"/>
  <c r="F28" i="5"/>
  <c r="D29" i="5"/>
  <c r="B30" i="5"/>
  <c r="J30" i="5"/>
  <c r="H31" i="5"/>
  <c r="F32" i="5"/>
  <c r="J4" i="5"/>
  <c r="D11" i="5"/>
  <c r="H17" i="5"/>
  <c r="B24" i="5"/>
  <c r="F30" i="5"/>
  <c r="J34" i="5"/>
  <c r="H37" i="5"/>
  <c r="H39" i="5"/>
  <c r="I41" i="5"/>
  <c r="E43" i="5"/>
  <c r="A45" i="5"/>
  <c r="G46" i="5"/>
  <c r="C48" i="5"/>
  <c r="I49" i="5"/>
  <c r="E51" i="5"/>
  <c r="I52" i="5"/>
  <c r="J53" i="5"/>
  <c r="D55" i="5"/>
  <c r="F56" i="5"/>
  <c r="H57" i="5"/>
  <c r="H58" i="5"/>
  <c r="I59" i="5"/>
  <c r="J60" i="5"/>
  <c r="J61" i="5"/>
  <c r="A63" i="5"/>
  <c r="B64" i="5"/>
  <c r="B65" i="5"/>
  <c r="A66" i="5"/>
  <c r="J66" i="5"/>
  <c r="I67" i="5"/>
  <c r="I68" i="5"/>
  <c r="H69" i="5"/>
  <c r="G70" i="5"/>
  <c r="E71" i="5"/>
  <c r="C72" i="5"/>
  <c r="A73" i="5"/>
  <c r="I73" i="5"/>
  <c r="G74" i="5"/>
  <c r="E75" i="5"/>
  <c r="C76" i="5"/>
  <c r="A77" i="5"/>
  <c r="I77" i="5"/>
  <c r="G78" i="5"/>
  <c r="E79" i="5"/>
  <c r="C80" i="5"/>
  <c r="A81" i="5"/>
  <c r="I81" i="5"/>
  <c r="G82" i="5"/>
  <c r="E83" i="5"/>
  <c r="C84" i="5"/>
  <c r="A85" i="5"/>
  <c r="I85" i="5"/>
  <c r="G86" i="5"/>
  <c r="E87" i="5"/>
  <c r="C88" i="5"/>
  <c r="A89" i="5"/>
  <c r="I89" i="5"/>
  <c r="G90" i="5"/>
  <c r="E91" i="5"/>
  <c r="C92" i="5"/>
  <c r="A93" i="5"/>
  <c r="I93" i="5"/>
  <c r="G94" i="5"/>
  <c r="E95" i="5"/>
  <c r="C96" i="5"/>
  <c r="A97" i="5"/>
  <c r="I97" i="5"/>
  <c r="G98" i="5"/>
  <c r="E99" i="5"/>
  <c r="C100" i="5"/>
  <c r="A101" i="5"/>
  <c r="I101" i="5"/>
  <c r="H2" i="5"/>
  <c r="J2" i="5"/>
  <c r="B94" i="5"/>
  <c r="B98" i="5"/>
  <c r="D101" i="5"/>
  <c r="E93" i="5"/>
  <c r="E97" i="5"/>
  <c r="G100" i="5"/>
  <c r="F2" i="5"/>
  <c r="J100" i="5"/>
  <c r="H5" i="5"/>
  <c r="B12" i="5"/>
  <c r="F18" i="5"/>
  <c r="J24" i="5"/>
  <c r="D31" i="5"/>
  <c r="D35" i="5"/>
  <c r="J37" i="5"/>
  <c r="B40" i="5"/>
  <c r="J41" i="5"/>
  <c r="F43" i="5"/>
  <c r="B45" i="5"/>
  <c r="H46" i="5"/>
  <c r="D48" i="5"/>
  <c r="J49" i="5"/>
  <c r="F51" i="5"/>
  <c r="J52" i="5"/>
  <c r="B54" i="5"/>
  <c r="E55" i="5"/>
  <c r="I56" i="5"/>
  <c r="I57" i="5"/>
  <c r="J58" i="5"/>
  <c r="A60" i="5"/>
  <c r="A61" i="5"/>
  <c r="B62" i="5"/>
  <c r="C63" i="5"/>
  <c r="C64" i="5"/>
  <c r="C65" i="5"/>
  <c r="B66" i="5"/>
  <c r="A67" i="5"/>
  <c r="A68" i="5"/>
  <c r="J68" i="5"/>
  <c r="I69" i="5"/>
  <c r="H70" i="5"/>
  <c r="F71" i="5"/>
  <c r="D72" i="5"/>
  <c r="B73" i="5"/>
  <c r="J73" i="5"/>
  <c r="H74" i="5"/>
  <c r="F75" i="5"/>
  <c r="D76" i="5"/>
  <c r="B77" i="5"/>
  <c r="J77" i="5"/>
  <c r="H78" i="5"/>
  <c r="F79" i="5"/>
  <c r="D80" i="5"/>
  <c r="B81" i="5"/>
  <c r="J81" i="5"/>
  <c r="H82" i="5"/>
  <c r="F83" i="5"/>
  <c r="D84" i="5"/>
  <c r="B85" i="5"/>
  <c r="J85" i="5"/>
  <c r="H86" i="5"/>
  <c r="F87" i="5"/>
  <c r="D88" i="5"/>
  <c r="B89" i="5"/>
  <c r="J89" i="5"/>
  <c r="H90" i="5"/>
  <c r="F91" i="5"/>
  <c r="D92" i="5"/>
  <c r="B93" i="5"/>
  <c r="J93" i="5"/>
  <c r="H94" i="5"/>
  <c r="F95" i="5"/>
  <c r="D96" i="5"/>
  <c r="B97" i="5"/>
  <c r="J97" i="5"/>
  <c r="H98" i="5"/>
  <c r="F99" i="5"/>
  <c r="D100" i="5"/>
  <c r="B101" i="5"/>
  <c r="J101" i="5"/>
  <c r="I2" i="5"/>
  <c r="F92" i="5"/>
  <c r="F96" i="5"/>
  <c r="H99" i="5"/>
  <c r="A2" i="5"/>
  <c r="A95" i="5"/>
  <c r="A99" i="5"/>
  <c r="F98" i="5"/>
  <c r="F6" i="5"/>
  <c r="J12" i="5"/>
  <c r="D19" i="5"/>
  <c r="H25" i="5"/>
  <c r="B32" i="5"/>
  <c r="H35" i="5"/>
  <c r="B38" i="5"/>
  <c r="D40" i="5"/>
  <c r="B42" i="5"/>
  <c r="H43" i="5"/>
  <c r="D45" i="5"/>
  <c r="J46" i="5"/>
  <c r="F48" i="5"/>
  <c r="B50" i="5"/>
  <c r="H51" i="5"/>
  <c r="A53" i="5"/>
  <c r="E54" i="5"/>
  <c r="F55" i="5"/>
  <c r="J56" i="5"/>
  <c r="J57" i="5"/>
  <c r="A59" i="5"/>
  <c r="B60" i="5"/>
  <c r="B61" i="5"/>
  <c r="C62" i="5"/>
  <c r="D63" i="5"/>
  <c r="D64" i="5"/>
  <c r="D65" i="5"/>
  <c r="C66" i="5"/>
  <c r="C67" i="5"/>
  <c r="B68" i="5"/>
  <c r="A69" i="5"/>
  <c r="J69" i="5"/>
  <c r="I70" i="5"/>
  <c r="G71" i="5"/>
  <c r="E72" i="5"/>
  <c r="C73" i="5"/>
  <c r="A74" i="5"/>
  <c r="I74" i="5"/>
  <c r="G75" i="5"/>
  <c r="E76" i="5"/>
  <c r="C77" i="5"/>
  <c r="A78" i="5"/>
  <c r="I78" i="5"/>
  <c r="G79" i="5"/>
  <c r="E80" i="5"/>
  <c r="C81" i="5"/>
  <c r="A82" i="5"/>
  <c r="I82" i="5"/>
  <c r="G83" i="5"/>
  <c r="E84" i="5"/>
  <c r="C85" i="5"/>
  <c r="A86" i="5"/>
  <c r="I86" i="5"/>
  <c r="G87" i="5"/>
  <c r="E88" i="5"/>
  <c r="C89" i="5"/>
  <c r="A90" i="5"/>
  <c r="I90" i="5"/>
  <c r="G91" i="5"/>
  <c r="E92" i="5"/>
  <c r="C93" i="5"/>
  <c r="A94" i="5"/>
  <c r="I94" i="5"/>
  <c r="G95" i="5"/>
  <c r="E96" i="5"/>
  <c r="C97" i="5"/>
  <c r="A98" i="5"/>
  <c r="I98" i="5"/>
  <c r="G99" i="5"/>
  <c r="E100" i="5"/>
  <c r="C101" i="5"/>
  <c r="B2" i="5"/>
  <c r="J94" i="5"/>
  <c r="D97" i="5"/>
  <c r="F100" i="5"/>
  <c r="G92" i="5"/>
  <c r="G96" i="5"/>
  <c r="E101" i="5"/>
  <c r="H97" i="5"/>
  <c r="D7" i="5"/>
  <c r="H13" i="5"/>
  <c r="B20" i="5"/>
  <c r="F26" i="5"/>
  <c r="J32" i="5"/>
  <c r="B36" i="5"/>
  <c r="F38" i="5"/>
  <c r="F40" i="5"/>
  <c r="F42" i="5"/>
  <c r="B44" i="5"/>
  <c r="H45" i="5"/>
  <c r="D47" i="5"/>
  <c r="J48" i="5"/>
  <c r="F50" i="5"/>
  <c r="A52" i="5"/>
  <c r="B53" i="5"/>
  <c r="F54" i="5"/>
  <c r="H55" i="5"/>
  <c r="A57" i="5"/>
  <c r="B58" i="5"/>
  <c r="C59" i="5"/>
  <c r="C60" i="5"/>
  <c r="D61" i="5"/>
  <c r="E62" i="5"/>
  <c r="E63" i="5"/>
  <c r="F64" i="5"/>
  <c r="E65" i="5"/>
  <c r="E66" i="5"/>
  <c r="D67" i="5"/>
  <c r="C68" i="5"/>
  <c r="B69" i="5"/>
  <c r="A70" i="5"/>
  <c r="J70" i="5"/>
  <c r="H71" i="5"/>
  <c r="F72" i="5"/>
  <c r="D73" i="5"/>
  <c r="B74" i="5"/>
  <c r="J74" i="5"/>
  <c r="H75" i="5"/>
  <c r="F76" i="5"/>
  <c r="D77" i="5"/>
  <c r="B78" i="5"/>
  <c r="J78" i="5"/>
  <c r="H79" i="5"/>
  <c r="F80" i="5"/>
  <c r="D81" i="5"/>
  <c r="B82" i="5"/>
  <c r="J82" i="5"/>
  <c r="H83" i="5"/>
  <c r="F84" i="5"/>
  <c r="D85" i="5"/>
  <c r="B86" i="5"/>
  <c r="J86" i="5"/>
  <c r="H87" i="5"/>
  <c r="F88" i="5"/>
  <c r="D89" i="5"/>
  <c r="B90" i="5"/>
  <c r="J90" i="5"/>
  <c r="H91" i="5"/>
  <c r="D93" i="5"/>
  <c r="H95" i="5"/>
  <c r="J98" i="5"/>
  <c r="C2" i="5"/>
  <c r="C94" i="5"/>
  <c r="I99" i="5"/>
  <c r="G101" i="5"/>
  <c r="B100" i="5"/>
  <c r="B8" i="5"/>
  <c r="F14" i="5"/>
  <c r="J20" i="5"/>
  <c r="D27" i="5"/>
  <c r="D33" i="5"/>
  <c r="F36" i="5"/>
  <c r="H38" i="5"/>
  <c r="J40" i="5"/>
  <c r="G42" i="5"/>
  <c r="C44" i="5"/>
  <c r="I45" i="5"/>
  <c r="E47" i="5"/>
  <c r="A49" i="5"/>
  <c r="G50" i="5"/>
  <c r="B52" i="5"/>
  <c r="D53" i="5"/>
  <c r="G54" i="5"/>
  <c r="A56" i="5"/>
  <c r="B57" i="5"/>
  <c r="C58" i="5"/>
  <c r="D59" i="5"/>
  <c r="D60" i="5"/>
  <c r="E61" i="5"/>
  <c r="F62" i="5"/>
  <c r="F63" i="5"/>
  <c r="G64" i="5"/>
  <c r="G65" i="5"/>
  <c r="F66" i="5"/>
  <c r="E67" i="5"/>
  <c r="D68" i="5"/>
  <c r="C69" i="5"/>
  <c r="B70" i="5"/>
  <c r="A71" i="5"/>
  <c r="I71" i="5"/>
  <c r="G72" i="5"/>
  <c r="E73" i="5"/>
  <c r="C74" i="5"/>
  <c r="A75" i="5"/>
  <c r="I75" i="5"/>
  <c r="G76" i="5"/>
  <c r="E77" i="5"/>
  <c r="C78" i="5"/>
  <c r="A79" i="5"/>
  <c r="I79" i="5"/>
  <c r="G80" i="5"/>
  <c r="E81" i="5"/>
  <c r="C82" i="5"/>
  <c r="A83" i="5"/>
  <c r="I83" i="5"/>
  <c r="G84" i="5"/>
  <c r="E85" i="5"/>
  <c r="C86" i="5"/>
  <c r="A87" i="5"/>
  <c r="I87" i="5"/>
  <c r="G88" i="5"/>
  <c r="E89" i="5"/>
  <c r="C90" i="5"/>
  <c r="A91" i="5"/>
  <c r="I91" i="5"/>
  <c r="I95" i="5"/>
  <c r="C98" i="5"/>
  <c r="D2" i="5"/>
  <c r="H101" i="5"/>
  <c r="J8" i="5"/>
  <c r="D15" i="5"/>
  <c r="H21" i="5"/>
  <c r="B28" i="5"/>
  <c r="H33" i="5"/>
  <c r="J36" i="5"/>
  <c r="J38" i="5"/>
  <c r="B41" i="5"/>
  <c r="H42" i="5"/>
  <c r="D44" i="5"/>
  <c r="J45" i="5"/>
  <c r="F47" i="5"/>
  <c r="B49" i="5"/>
  <c r="H50" i="5"/>
  <c r="C52" i="5"/>
  <c r="G53" i="5"/>
  <c r="H54" i="5"/>
  <c r="B56" i="5"/>
  <c r="D57" i="5"/>
  <c r="E58" i="5"/>
  <c r="E59" i="5"/>
  <c r="F60" i="5"/>
  <c r="G61" i="5"/>
  <c r="G62" i="5"/>
  <c r="H63" i="5"/>
  <c r="I64" i="5"/>
  <c r="H65" i="5"/>
  <c r="G66" i="5"/>
  <c r="F67" i="5"/>
  <c r="E68" i="5"/>
  <c r="D69" i="5"/>
  <c r="C70" i="5"/>
  <c r="B71" i="5"/>
  <c r="J71" i="5"/>
  <c r="H72" i="5"/>
  <c r="F73" i="5"/>
  <c r="D74" i="5"/>
  <c r="B75" i="5"/>
  <c r="J75" i="5"/>
  <c r="H76" i="5"/>
  <c r="F77" i="5"/>
  <c r="D78" i="5"/>
  <c r="B79" i="5"/>
  <c r="J79" i="5"/>
  <c r="H80" i="5"/>
  <c r="F81" i="5"/>
  <c r="D82" i="5"/>
  <c r="B83" i="5"/>
  <c r="J83" i="5"/>
  <c r="H84" i="5"/>
  <c r="F85" i="5"/>
  <c r="D86" i="5"/>
  <c r="B87" i="5"/>
  <c r="J87" i="5"/>
  <c r="H88" i="5"/>
  <c r="F89" i="5"/>
  <c r="D90" i="5"/>
  <c r="B91" i="5"/>
  <c r="J91" i="5"/>
  <c r="H92" i="5"/>
  <c r="F93" i="5"/>
  <c r="D94" i="5"/>
  <c r="B95" i="5"/>
  <c r="J95" i="5"/>
  <c r="H96" i="5"/>
  <c r="F97" i="5"/>
  <c r="D98" i="5"/>
  <c r="B99" i="5"/>
  <c r="J99" i="5"/>
  <c r="H100" i="5"/>
  <c r="F101" i="5"/>
  <c r="E2" i="5"/>
  <c r="I100" i="5"/>
  <c r="H9" i="5"/>
  <c r="B16" i="5"/>
  <c r="F22" i="5"/>
  <c r="J28" i="5"/>
  <c r="B34" i="5"/>
  <c r="B37" i="5"/>
  <c r="D39" i="5"/>
  <c r="D41" i="5"/>
  <c r="J42" i="5"/>
  <c r="F44" i="5"/>
  <c r="B46" i="5"/>
  <c r="H47" i="5"/>
  <c r="D49" i="5"/>
  <c r="J50" i="5"/>
  <c r="D52" i="5"/>
  <c r="H53" i="5"/>
  <c r="J54" i="5"/>
  <c r="C56" i="5"/>
  <c r="E57" i="5"/>
  <c r="F58" i="5"/>
  <c r="F59" i="5"/>
  <c r="G60" i="5"/>
  <c r="H61" i="5"/>
  <c r="H62" i="5"/>
  <c r="I63" i="5"/>
  <c r="J64" i="5"/>
  <c r="I65" i="5"/>
  <c r="H66" i="5"/>
  <c r="G67" i="5"/>
  <c r="F68" i="5"/>
  <c r="E69" i="5"/>
  <c r="E70" i="5"/>
  <c r="C71" i="5"/>
  <c r="A72" i="5"/>
  <c r="I72" i="5"/>
  <c r="G73" i="5"/>
  <c r="E74" i="5"/>
  <c r="C75" i="5"/>
  <c r="A76" i="5"/>
  <c r="I76" i="5"/>
  <c r="G77" i="5"/>
  <c r="E78" i="5"/>
  <c r="C79" i="5"/>
  <c r="A80" i="5"/>
  <c r="I80" i="5"/>
  <c r="G81" i="5"/>
  <c r="E82" i="5"/>
  <c r="C83" i="5"/>
  <c r="A84" i="5"/>
  <c r="I84" i="5"/>
  <c r="G85" i="5"/>
  <c r="E86" i="5"/>
  <c r="C87" i="5"/>
  <c r="A88" i="5"/>
  <c r="I88" i="5"/>
  <c r="G89" i="5"/>
  <c r="E90" i="5"/>
  <c r="C91" i="5"/>
  <c r="A92" i="5"/>
  <c r="I92" i="5"/>
  <c r="G93" i="5"/>
  <c r="E94" i="5"/>
  <c r="C95" i="5"/>
  <c r="A96" i="5"/>
  <c r="I96" i="5"/>
  <c r="G97" i="5"/>
  <c r="E98" i="5"/>
  <c r="C99" i="5"/>
  <c r="A100" i="5"/>
  <c r="G2" i="5"/>
  <c r="F10" i="5"/>
  <c r="J16" i="5"/>
  <c r="D23" i="5"/>
  <c r="H29" i="5"/>
  <c r="F34" i="5"/>
  <c r="D37" i="5"/>
  <c r="F39" i="5"/>
  <c r="H41" i="5"/>
  <c r="D43" i="5"/>
  <c r="J44" i="5"/>
  <c r="F46" i="5"/>
  <c r="B48" i="5"/>
  <c r="H49" i="5"/>
  <c r="D51" i="5"/>
  <c r="F52" i="5"/>
  <c r="I53" i="5"/>
  <c r="C55" i="5"/>
  <c r="D56" i="5"/>
  <c r="G57" i="5"/>
  <c r="G58" i="5"/>
  <c r="H59" i="5"/>
  <c r="I60" i="5"/>
  <c r="I61" i="5"/>
  <c r="J62" i="5"/>
  <c r="A64" i="5"/>
  <c r="A65" i="5"/>
  <c r="J65" i="5"/>
  <c r="I66" i="5"/>
  <c r="H67" i="5"/>
  <c r="G68" i="5"/>
  <c r="G69" i="5"/>
  <c r="F70" i="5"/>
  <c r="D71" i="5"/>
  <c r="B72" i="5"/>
  <c r="J72" i="5"/>
  <c r="H73" i="5"/>
  <c r="F74" i="5"/>
  <c r="D75" i="5"/>
  <c r="B76" i="5"/>
  <c r="J76" i="5"/>
  <c r="H77" i="5"/>
  <c r="F78" i="5"/>
  <c r="D79" i="5"/>
  <c r="B80" i="5"/>
  <c r="J80" i="5"/>
  <c r="H81" i="5"/>
  <c r="F82" i="5"/>
  <c r="D83" i="5"/>
  <c r="B84" i="5"/>
  <c r="J84" i="5"/>
  <c r="H85" i="5"/>
  <c r="F86" i="5"/>
  <c r="D87" i="5"/>
  <c r="B88" i="5"/>
  <c r="J88" i="5"/>
  <c r="H89" i="5"/>
  <c r="F90" i="5"/>
  <c r="D91" i="5"/>
  <c r="B92" i="5"/>
  <c r="J92" i="5"/>
  <c r="H93" i="5"/>
  <c r="F94" i="5"/>
  <c r="D95" i="5"/>
  <c r="B96" i="5"/>
  <c r="J96" i="5"/>
  <c r="D99" i="5"/>
</calcChain>
</file>

<file path=xl/sharedStrings.xml><?xml version="1.0" encoding="utf-8"?>
<sst xmlns="http://schemas.openxmlformats.org/spreadsheetml/2006/main" count="42" uniqueCount="31">
  <si>
    <t>Age</t>
  </si>
  <si>
    <t>Annual Income Increase</t>
  </si>
  <si>
    <t>Plan Year</t>
  </si>
  <si>
    <t>Working Income</t>
  </si>
  <si>
    <t>Earned Interest</t>
  </si>
  <si>
    <t>End Savings Balance</t>
  </si>
  <si>
    <t>Yearly Savings</t>
  </si>
  <si>
    <t>Yearly Expenditures</t>
  </si>
  <si>
    <t>Overall Net Gain/Loss</t>
  </si>
  <si>
    <t>Income Tax</t>
  </si>
  <si>
    <t>Retirement Savings Withdrawl</t>
  </si>
  <si>
    <t>Current Age</t>
  </si>
  <si>
    <t>Current Annual Income</t>
  </si>
  <si>
    <t>Current Annual Expenses</t>
  </si>
  <si>
    <t>Current Retirement Savings</t>
  </si>
  <si>
    <t>Economic Assumptions</t>
  </si>
  <si>
    <t>Annual Inflation</t>
  </si>
  <si>
    <t>Desired Retirement Age</t>
  </si>
  <si>
    <t>Current Information</t>
  </si>
  <si>
    <t>Risk Tolerance (Pre-Retirement)</t>
  </si>
  <si>
    <t>Risk Tolerance (Post-Retirement)</t>
  </si>
  <si>
    <t>Conservative (Est. 4% Annual Return)</t>
  </si>
  <si>
    <t>Tax Rate</t>
  </si>
  <si>
    <t>Beginning Savings Balance</t>
  </si>
  <si>
    <t>Moderate  (Est. 6% Annual Return)</t>
  </si>
  <si>
    <t>Aggressive  (Est. 8% Annual Return)</t>
  </si>
  <si>
    <t>Pre-Retirement Investment Return</t>
  </si>
  <si>
    <t>Post-Retirement Investment Return</t>
  </si>
  <si>
    <t>Years Before Money Runs Out</t>
  </si>
  <si>
    <t>Age When Money Runs Out</t>
  </si>
  <si>
    <t>Retirement Savings 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</si>
</sst>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[$$-409]#,##0.00_);\([$$-409]#,##0.00\)"/>
    <numFmt numFmtId="166" formatCode="&quot;$&quot;#,##0.00"/>
    <numFmt numFmtId="167" formatCode="[$$-409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  <xf numFmtId="0" fontId="6" fillId="0" borderId="4" applyNumberFormat="0" applyFill="0" applyAlignment="0" applyProtection="0"/>
    <xf numFmtId="44" fontId="2" fillId="0" borderId="0" applyFont="0" applyFill="0" applyBorder="0" applyAlignment="0" applyProtection="0"/>
    <xf numFmtId="0" fontId="7" fillId="0" borderId="5" applyNumberFormat="0" applyFill="0" applyAlignment="0" applyProtection="0"/>
  </cellStyleXfs>
  <cellXfs count="19">
    <xf numFmtId="0" fontId="0" fillId="0" borderId="0" xfId="0"/>
    <xf numFmtId="0" fontId="1" fillId="0" borderId="0" xfId="0" applyFont="1"/>
    <xf numFmtId="9" fontId="0" fillId="0" borderId="0" xfId="0" applyNumberFormat="1"/>
    <xf numFmtId="9" fontId="0" fillId="0" borderId="0" xfId="1" applyFont="1"/>
    <xf numFmtId="1" fontId="5" fillId="2" borderId="3" xfId="4" applyNumberFormat="1"/>
    <xf numFmtId="164" fontId="5" fillId="2" borderId="3" xfId="4" applyNumberFormat="1"/>
    <xf numFmtId="9" fontId="5" fillId="2" borderId="3" xfId="4" applyNumberFormat="1"/>
    <xf numFmtId="0" fontId="6" fillId="2" borderId="4" xfId="5" applyFill="1"/>
    <xf numFmtId="0" fontId="4" fillId="0" borderId="2" xfId="3"/>
    <xf numFmtId="165" fontId="1" fillId="0" borderId="0" xfId="6" applyNumberFormat="1" applyFont="1"/>
    <xf numFmtId="165" fontId="0" fillId="0" borderId="0" xfId="6" applyNumberFormat="1" applyFont="1"/>
    <xf numFmtId="166" fontId="1" fillId="0" borderId="0" xfId="6" applyNumberFormat="1" applyFont="1"/>
    <xf numFmtId="166" fontId="0" fillId="0" borderId="0" xfId="6" applyNumberFormat="1" applyFont="1"/>
    <xf numFmtId="167" fontId="1" fillId="0" borderId="0" xfId="6" applyNumberFormat="1" applyFont="1"/>
    <xf numFmtId="167" fontId="0" fillId="0" borderId="0" xfId="6" applyNumberFormat="1" applyFont="1"/>
    <xf numFmtId="166" fontId="0" fillId="0" borderId="0" xfId="0" applyNumberFormat="1"/>
    <xf numFmtId="0" fontId="7" fillId="0" borderId="5" xfId="7" applyAlignment="1">
      <alignment horizontal="center"/>
    </xf>
    <xf numFmtId="0" fontId="5" fillId="2" borderId="3" xfId="4" applyAlignment="1">
      <alignment horizontal="center"/>
    </xf>
    <xf numFmtId="0" fontId="3" fillId="0" borderId="0" xfId="2" applyBorder="1" applyAlignment="1">
      <alignment horizontal="center"/>
    </xf>
  </cellXfs>
  <cellStyles count="8">
    <cellStyle name="Currency" xfId="6" builtinId="4"/>
    <cellStyle name="Heading 1" xfId="7" builtinId="16"/>
    <cellStyle name="Heading 2" xfId="2" builtinId="17"/>
    <cellStyle name="Heading 3" xfId="3" builtinId="18"/>
    <cellStyle name="Input" xfId="4" builtinId="20"/>
    <cellStyle name="Linked Cell" xfId="5" builtinId="24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Projected Retirement Series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[0]!dynamic_labels</c:f>
              <c:numCache>
                <c:formatCode>General</c:formatCode>
                <c:ptCount val="58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49</c:v>
                </c:pt>
                <c:pt idx="21">
                  <c:v>50</c:v>
                </c:pt>
                <c:pt idx="22">
                  <c:v>51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61</c:v>
                </c:pt>
                <c:pt idx="33">
                  <c:v>62</c:v>
                </c:pt>
                <c:pt idx="34">
                  <c:v>63</c:v>
                </c:pt>
                <c:pt idx="35">
                  <c:v>64</c:v>
                </c:pt>
                <c:pt idx="36">
                  <c:v>65</c:v>
                </c:pt>
                <c:pt idx="37">
                  <c:v>66</c:v>
                </c:pt>
                <c:pt idx="38">
                  <c:v>67</c:v>
                </c:pt>
                <c:pt idx="39">
                  <c:v>68</c:v>
                </c:pt>
                <c:pt idx="40">
                  <c:v>69</c:v>
                </c:pt>
                <c:pt idx="41">
                  <c:v>70</c:v>
                </c:pt>
                <c:pt idx="42">
                  <c:v>71</c:v>
                </c:pt>
                <c:pt idx="43">
                  <c:v>72</c:v>
                </c:pt>
                <c:pt idx="44">
                  <c:v>73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77</c:v>
                </c:pt>
                <c:pt idx="49">
                  <c:v>78</c:v>
                </c:pt>
                <c:pt idx="50">
                  <c:v>79</c:v>
                </c:pt>
                <c:pt idx="51">
                  <c:v>80</c:v>
                </c:pt>
                <c:pt idx="52">
                  <c:v>81</c:v>
                </c:pt>
                <c:pt idx="53">
                  <c:v>82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</c:numCache>
            </c:numRef>
          </c:cat>
          <c:val>
            <c:numRef>
              <c:f>[0]!dynamic_series</c:f>
              <c:numCache>
                <c:formatCode>[$$-409]#,##0.00</c:formatCode>
                <c:ptCount val="58"/>
                <c:pt idx="0">
                  <c:v>30180</c:v>
                </c:pt>
                <c:pt idx="1">
                  <c:v>40994.400000000001</c:v>
                </c:pt>
                <c:pt idx="2">
                  <c:v>53627.952000000005</c:v>
                </c:pt>
                <c:pt idx="3">
                  <c:v>68282.888160000017</c:v>
                </c:pt>
                <c:pt idx="4">
                  <c:v>85180.443412800043</c:v>
                </c:pt>
                <c:pt idx="5">
                  <c:v>104562.50533982406</c:v>
                </c:pt>
                <c:pt idx="6">
                  <c:v>126693.40172374999</c:v>
                </c:pt>
                <c:pt idx="7">
                  <c:v>151861.83703457701</c:v>
                </c:pt>
                <c:pt idx="8">
                  <c:v>180382.9900164422</c:v>
                </c:pt>
                <c:pt idx="9">
                  <c:v>212600.78552645311</c:v>
                </c:pt>
                <c:pt idx="10">
                  <c:v>248890.35483991026</c:v>
                </c:pt>
                <c:pt idx="11">
                  <c:v>289660.69978490408</c:v>
                </c:pt>
                <c:pt idx="12">
                  <c:v>335357.57731024415</c:v>
                </c:pt>
                <c:pt idx="13">
                  <c:v>386466.62243142101</c:v>
                </c:pt>
                <c:pt idx="14">
                  <c:v>443516.72894781723</c:v>
                </c:pt>
                <c:pt idx="15">
                  <c:v>507083.70888931357</c:v>
                </c:pt>
                <c:pt idx="16">
                  <c:v>577794.25334111694</c:v>
                </c:pt>
                <c:pt idx="17">
                  <c:v>656330.2191221501</c:v>
                </c:pt>
                <c:pt idx="18">
                  <c:v>743433.2677655787</c:v>
                </c:pt>
                <c:pt idx="19">
                  <c:v>839909.88538177183</c:v>
                </c:pt>
                <c:pt idx="20">
                  <c:v>946636.81428690453</c:v>
                </c:pt>
                <c:pt idx="21">
                  <c:v>1064566.9297682331</c:v>
                </c:pt>
                <c:pt idx="22">
                  <c:v>1194735.5980446287</c:v>
                </c:pt>
                <c:pt idx="23">
                  <c:v>1338267.55438425</c:v>
                </c:pt>
                <c:pt idx="24">
                  <c:v>1496384.3434775588</c:v>
                </c:pt>
                <c:pt idx="25">
                  <c:v>1670412.3675519114</c:v>
                </c:pt>
                <c:pt idx="26">
                  <c:v>1861791.5913738506</c:v>
                </c:pt>
                <c:pt idx="27">
                  <c:v>2072084.9572387829</c:v>
                </c:pt>
                <c:pt idx="28">
                  <c:v>2302988.5673184525</c:v>
                </c:pt>
                <c:pt idx="29">
                  <c:v>2556342.6953499611</c:v>
                </c:pt>
                <c:pt idx="30">
                  <c:v>2834143.6946334373</c:v>
                </c:pt>
                <c:pt idx="31">
                  <c:v>3138556.8746885248</c:v>
                </c:pt>
                <c:pt idx="32">
                  <c:v>3471930.4247345906</c:v>
                </c:pt>
                <c:pt idx="33">
                  <c:v>3451667.5274226344</c:v>
                </c:pt>
                <c:pt idx="34">
                  <c:v>3425819.9107891601</c:v>
                </c:pt>
                <c:pt idx="35">
                  <c:v>3394020.959958435</c:v>
                </c:pt>
                <c:pt idx="36">
                  <c:v>3355885.0986766121</c:v>
                </c:pt>
                <c:pt idx="37">
                  <c:v>3311006.9019531119</c:v>
                </c:pt>
                <c:pt idx="38">
                  <c:v>3258960.1693405546</c:v>
                </c:pt>
                <c:pt idx="39">
                  <c:v>3199296.9571627746</c:v>
                </c:pt>
                <c:pt idx="40">
                  <c:v>3131546.5679293415</c:v>
                </c:pt>
                <c:pt idx="41">
                  <c:v>3055214.4951009722</c:v>
                </c:pt>
                <c:pt idx="42">
                  <c:v>2969781.3212931026</c:v>
                </c:pt>
                <c:pt idx="43">
                  <c:v>2874701.5679245605</c:v>
                </c:pt>
                <c:pt idx="44">
                  <c:v>2769402.4942346686</c:v>
                </c:pt>
                <c:pt idx="45">
                  <c:v>2653282.8435049751</c:v>
                </c:pt>
                <c:pt idx="46">
                  <c:v>2525711.5342311212</c:v>
                </c:pt>
                <c:pt idx="47">
                  <c:v>2386026.2938958914</c:v>
                </c:pt>
                <c:pt idx="48">
                  <c:v>2233532.2328961184</c:v>
                </c:pt>
                <c:pt idx="49">
                  <c:v>2067500.3560736864</c:v>
                </c:pt>
                <c:pt idx="50">
                  <c:v>1887166.0091942088</c:v>
                </c:pt>
                <c:pt idx="51">
                  <c:v>1691727.2576058791</c:v>
                </c:pt>
                <c:pt idx="52">
                  <c:v>1480343.1941953334</c:v>
                </c:pt>
                <c:pt idx="53">
                  <c:v>1252132.1736369224</c:v>
                </c:pt>
                <c:pt idx="54">
                  <c:v>1006169.9698063883</c:v>
                </c:pt>
                <c:pt idx="55">
                  <c:v>741487.85309935245</c:v>
                </c:pt>
                <c:pt idx="56">
                  <c:v>457070.58425905649</c:v>
                </c:pt>
                <c:pt idx="57">
                  <c:v>151854.32117622055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1FD-AE42-B2A2-10F7DE2E9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281311"/>
        <c:axId val="603576895"/>
      </c:lineChart>
      <c:catAx>
        <c:axId val="526281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76895"/>
        <c:crosses val="autoZero"/>
        <c:auto val="1"/>
        <c:lblAlgn val="ctr"/>
        <c:lblOffset val="100"/>
        <c:tickLblSkip val="5"/>
        <c:noMultiLvlLbl val="0"/>
      </c:catAx>
      <c:valAx>
        <c:axId val="6035768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2"/>
              </a:solidFill>
              <a:prstDash val="solid"/>
              <a:miter lim="800000"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1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croll" dx="15" fmlaLink="$B$2" horiz="1" max="70" min="40" page="10" val="6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1</xdr:row>
          <xdr:rowOff>38100</xdr:rowOff>
        </xdr:from>
        <xdr:to>
          <xdr:col>0</xdr:col>
          <xdr:colOff>2463800</xdr:colOff>
          <xdr:row>1</xdr:row>
          <xdr:rowOff>190500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612048</xdr:colOff>
      <xdr:row>1</xdr:row>
      <xdr:rowOff>183615</xdr:rowOff>
    </xdr:from>
    <xdr:to>
      <xdr:col>15</xdr:col>
      <xdr:colOff>107108</xdr:colOff>
      <xdr:row>19</xdr:row>
      <xdr:rowOff>137711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8E082-0968-EB2A-B5F3-27839C62D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showGridLines="0" zoomScale="83" workbookViewId="0">
      <selection activeCell="O27" sqref="O27"/>
    </sheetView>
  </sheetViews>
  <sheetFormatPr baseColWidth="10" defaultColWidth="8.83203125" defaultRowHeight="15" x14ac:dyDescent="0.2"/>
  <cols>
    <col min="1" max="1" width="32.5" bestFit="1" customWidth="1"/>
    <col min="2" max="2" width="15.5" bestFit="1" customWidth="1"/>
  </cols>
  <sheetData>
    <row r="1" spans="1:15" ht="21" thickBot="1" x14ac:dyDescent="0.3">
      <c r="A1" s="18" t="s">
        <v>17</v>
      </c>
      <c r="B1" s="18"/>
      <c r="D1" s="16" t="str">
        <f>IF(years_before_money_runs_out&gt;=100,"You willl NEVER run out", "You will run out of money at " &amp;age_when_money_runs_out&amp; " years old")</f>
        <v>You will run out of money at 87 years old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18" thickTop="1" thickBot="1" x14ac:dyDescent="0.25">
      <c r="B2" s="7">
        <v>61</v>
      </c>
    </row>
    <row r="3" spans="1:15" ht="16" thickTop="1" x14ac:dyDescent="0.2"/>
    <row r="4" spans="1:15" ht="17.5" customHeight="1" x14ac:dyDescent="0.2">
      <c r="A4" s="18" t="s">
        <v>18</v>
      </c>
      <c r="B4" s="18"/>
    </row>
    <row r="5" spans="1:15" ht="17" thickBot="1" x14ac:dyDescent="0.25">
      <c r="A5" s="8" t="s">
        <v>11</v>
      </c>
      <c r="B5" s="4">
        <v>29</v>
      </c>
    </row>
    <row r="6" spans="1:15" ht="17" thickBot="1" x14ac:dyDescent="0.25">
      <c r="A6" s="8" t="s">
        <v>12</v>
      </c>
      <c r="B6" s="5">
        <v>75000</v>
      </c>
    </row>
    <row r="7" spans="1:15" ht="17" thickBot="1" x14ac:dyDescent="0.25">
      <c r="A7" s="8" t="s">
        <v>13</v>
      </c>
      <c r="B7" s="5">
        <v>60000</v>
      </c>
    </row>
    <row r="8" spans="1:15" ht="17" thickBot="1" x14ac:dyDescent="0.25">
      <c r="A8" s="8" t="s">
        <v>14</v>
      </c>
      <c r="B8" s="5">
        <v>21000</v>
      </c>
    </row>
    <row r="9" spans="1:15" ht="14.5" customHeight="1" x14ac:dyDescent="0.2"/>
    <row r="10" spans="1:15" ht="17" x14ac:dyDescent="0.2">
      <c r="A10" s="18" t="s">
        <v>15</v>
      </c>
      <c r="B10" s="18"/>
    </row>
    <row r="11" spans="1:15" ht="17" thickBot="1" x14ac:dyDescent="0.25">
      <c r="A11" s="8" t="s">
        <v>16</v>
      </c>
      <c r="B11" s="6">
        <v>0.03</v>
      </c>
    </row>
    <row r="12" spans="1:15" ht="17" thickBot="1" x14ac:dyDescent="0.25">
      <c r="A12" s="8" t="s">
        <v>1</v>
      </c>
      <c r="B12" s="6">
        <v>0.04</v>
      </c>
    </row>
    <row r="13" spans="1:15" ht="17" thickBot="1" x14ac:dyDescent="0.25">
      <c r="A13" s="8" t="s">
        <v>22</v>
      </c>
      <c r="B13" s="6">
        <v>0.1</v>
      </c>
    </row>
    <row r="14" spans="1:15" ht="14.5" customHeight="1" x14ac:dyDescent="0.2"/>
    <row r="15" spans="1:15" ht="17" x14ac:dyDescent="0.2">
      <c r="A15" s="18" t="s">
        <v>19</v>
      </c>
      <c r="B15" s="18"/>
    </row>
    <row r="16" spans="1:15" ht="16" x14ac:dyDescent="0.2">
      <c r="A16" s="17" t="s">
        <v>25</v>
      </c>
      <c r="B16" s="17"/>
    </row>
    <row r="17" spans="1:2" ht="14.5" customHeight="1" x14ac:dyDescent="0.2"/>
    <row r="18" spans="1:2" ht="17" x14ac:dyDescent="0.2">
      <c r="A18" s="18" t="s">
        <v>20</v>
      </c>
      <c r="B18" s="18"/>
    </row>
    <row r="19" spans="1:2" ht="16" x14ac:dyDescent="0.2">
      <c r="A19" s="17" t="s">
        <v>21</v>
      </c>
      <c r="B19" s="17"/>
    </row>
    <row r="20" spans="1:2" ht="14.5" customHeight="1" x14ac:dyDescent="0.2"/>
  </sheetData>
  <mergeCells count="8">
    <mergeCell ref="D1:O1"/>
    <mergeCell ref="A16:B16"/>
    <mergeCell ref="A19:B19"/>
    <mergeCell ref="A1:B1"/>
    <mergeCell ref="A4:B4"/>
    <mergeCell ref="A10:B10"/>
    <mergeCell ref="A15:B15"/>
    <mergeCell ref="A18:B18"/>
  </mergeCells>
  <conditionalFormatting sqref="D1:O1">
    <cfRule type="expression" dxfId="0" priority="1">
      <formula>age_when_money_runs_out&lt;85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Scroll Bar 4">
              <controlPr defaultSize="0" autoPict="0">
                <anchor moveWithCells="1">
                  <from>
                    <xdr:col>0</xdr:col>
                    <xdr:colOff>12700</xdr:colOff>
                    <xdr:row>1</xdr:row>
                    <xdr:rowOff>38100</xdr:rowOff>
                  </from>
                  <to>
                    <xdr:col>0</xdr:col>
                    <xdr:colOff>2463800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76DE14-112F-F14F-A524-557825119895}">
          <x14:formula1>
            <xm:f>Support!$A$1:$A$3</xm:f>
          </x14:formula1>
          <xm:sqref>A16:B16 A19:B19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B626-0ABA-034C-92BB-0557F40AC771}">
  <dimension ref="A1:J101"/>
  <sheetViews>
    <sheetView tabSelected="1" zoomScale="85"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3.83203125" bestFit="1" customWidth="1"/>
    <col min="2" max="2" width="14.6640625" style="12" bestFit="1" customWidth="1"/>
    <col min="3" max="3" width="10.33203125" style="12" bestFit="1" customWidth="1"/>
    <col min="4" max="4" width="17.5" style="12" bestFit="1" customWidth="1"/>
    <col min="5" max="5" width="12.5" style="12" bestFit="1" customWidth="1"/>
    <col min="6" max="6" width="22.6640625" style="12" bestFit="1" customWidth="1"/>
    <col min="7" max="7" width="13.83203125" style="12" bestFit="1" customWidth="1"/>
    <col min="8" max="8" width="26.5" style="12" bestFit="1" customWidth="1"/>
    <col min="9" max="9" width="17.6640625" style="12" bestFit="1" customWidth="1"/>
    <col min="10" max="10" width="19" style="12" bestFit="1" customWidth="1"/>
  </cols>
  <sheetData>
    <row r="1" spans="1:10" x14ac:dyDescent="0.2">
      <c r="A1" s="1" t="s">
        <v>0</v>
      </c>
      <c r="B1" s="11" t="s">
        <v>3</v>
      </c>
      <c r="C1" s="11" t="s">
        <v>9</v>
      </c>
      <c r="D1" s="11" t="s">
        <v>7</v>
      </c>
      <c r="E1" s="11" t="s">
        <v>6</v>
      </c>
      <c r="F1" s="11" t="s">
        <v>23</v>
      </c>
      <c r="G1" s="11" t="s">
        <v>4</v>
      </c>
      <c r="H1" s="11" t="s">
        <v>30</v>
      </c>
      <c r="I1" s="11" t="s">
        <v>5</v>
      </c>
      <c r="J1" s="11" t="s">
        <v>8</v>
      </c>
    </row>
    <row r="2" spans="1:10" x14ac:dyDescent="0.2">
      <c r="A2">
        <f>IF(Calculations!$B2&lt;age_when_money_runs_out,Calculations!B2,"")</f>
        <v>29</v>
      </c>
      <c r="B2" s="15">
        <f>IF(Calculations!$B2&lt;age_when_money_runs_out,Calculations!C2,"")</f>
        <v>75000</v>
      </c>
      <c r="C2" s="15">
        <f>IF(Calculations!$B2&lt;age_when_money_runs_out,Calculations!D2,"")</f>
        <v>7500</v>
      </c>
      <c r="D2" s="15">
        <f>IF(Calculations!$B2&lt;age_when_money_runs_out,Calculations!E2,"")</f>
        <v>60000</v>
      </c>
      <c r="E2" s="15">
        <f>IF(Calculations!$B2&lt;age_when_money_runs_out,Calculations!F2,"")</f>
        <v>7500</v>
      </c>
      <c r="F2" s="15">
        <f>IF(Calculations!$B2&lt;age_when_money_runs_out,Calculations!G2,"")</f>
        <v>21000</v>
      </c>
      <c r="G2" s="15">
        <f>IF(Calculations!$B2&lt;age_when_money_runs_out,Calculations!H2,"")</f>
        <v>1680</v>
      </c>
      <c r="H2" s="15">
        <f>IF(Calculations!$B2&lt;age_when_money_runs_out,Calculations!I2,"")</f>
        <v>0</v>
      </c>
      <c r="I2" s="15">
        <f>IF(Calculations!$B2&lt;age_when_money_runs_out,Calculations!J2,"")</f>
        <v>30180</v>
      </c>
      <c r="J2" s="15">
        <f>IF(Calculations!$B2&lt;age_when_money_runs_out,Calculations!K2,"")</f>
        <v>9180</v>
      </c>
    </row>
    <row r="3" spans="1:10" x14ac:dyDescent="0.2">
      <c r="A3">
        <f>IF(Calculations!$B3&lt;age_when_money_runs_out,Calculations!B3,"")</f>
        <v>30</v>
      </c>
      <c r="B3" s="15">
        <f>IF(Calculations!$B3&lt;age_when_money_runs_out,Calculations!C3,"")</f>
        <v>78000</v>
      </c>
      <c r="C3" s="15">
        <f>IF(Calculations!$B3&lt;age_when_money_runs_out,Calculations!D3,"")</f>
        <v>7800</v>
      </c>
      <c r="D3" s="15">
        <f>IF(Calculations!$B3&lt;age_when_money_runs_out,Calculations!E3,"")</f>
        <v>61800</v>
      </c>
      <c r="E3" s="15">
        <f>IF(Calculations!$B3&lt;age_when_money_runs_out,Calculations!F3,"")</f>
        <v>8400</v>
      </c>
      <c r="F3" s="15">
        <f>IF(Calculations!$B3&lt;age_when_money_runs_out,Calculations!G3,"")</f>
        <v>30180</v>
      </c>
      <c r="G3" s="15">
        <f>IF(Calculations!$B3&lt;age_when_money_runs_out,Calculations!H3,"")</f>
        <v>2414.4</v>
      </c>
      <c r="H3" s="15">
        <f>IF(Calculations!$B3&lt;age_when_money_runs_out,Calculations!I3,"")</f>
        <v>0</v>
      </c>
      <c r="I3" s="15">
        <f>IF(Calculations!$B3&lt;age_when_money_runs_out,Calculations!J3,"")</f>
        <v>40994.400000000001</v>
      </c>
      <c r="J3" s="15">
        <f>IF(Calculations!$B3&lt;age_when_money_runs_out,Calculations!K3,"")</f>
        <v>10814.400000000001</v>
      </c>
    </row>
    <row r="4" spans="1:10" x14ac:dyDescent="0.2">
      <c r="A4">
        <f>IF(Calculations!$B4&lt;age_when_money_runs_out,Calculations!B4,"")</f>
        <v>31</v>
      </c>
      <c r="B4" s="15">
        <f>IF(Calculations!$B4&lt;age_when_money_runs_out,Calculations!C4,"")</f>
        <v>81120</v>
      </c>
      <c r="C4" s="15">
        <f>IF(Calculations!$B4&lt;age_when_money_runs_out,Calculations!D4,"")</f>
        <v>8112</v>
      </c>
      <c r="D4" s="15">
        <f>IF(Calculations!$B4&lt;age_when_money_runs_out,Calculations!E4,"")</f>
        <v>63654</v>
      </c>
      <c r="E4" s="15">
        <f>IF(Calculations!$B4&lt;age_when_money_runs_out,Calculations!F4,"")</f>
        <v>9354</v>
      </c>
      <c r="F4" s="15">
        <f>IF(Calculations!$B4&lt;age_when_money_runs_out,Calculations!G4,"")</f>
        <v>40994.400000000001</v>
      </c>
      <c r="G4" s="15">
        <f>IF(Calculations!$B4&lt;age_when_money_runs_out,Calculations!H4,"")</f>
        <v>3279.5520000000001</v>
      </c>
      <c r="H4" s="15">
        <f>IF(Calculations!$B4&lt;age_when_money_runs_out,Calculations!I4,"")</f>
        <v>0</v>
      </c>
      <c r="I4" s="15">
        <f>IF(Calculations!$B4&lt;age_when_money_runs_out,Calculations!J4,"")</f>
        <v>53627.952000000005</v>
      </c>
      <c r="J4" s="15">
        <f>IF(Calculations!$B4&lt;age_when_money_runs_out,Calculations!K4,"")</f>
        <v>12633.552000000003</v>
      </c>
    </row>
    <row r="5" spans="1:10" x14ac:dyDescent="0.2">
      <c r="A5">
        <f>IF(Calculations!$B5&lt;age_when_money_runs_out,Calculations!B5,"")</f>
        <v>32</v>
      </c>
      <c r="B5" s="15">
        <f>IF(Calculations!$B5&lt;age_when_money_runs_out,Calculations!C5,"")</f>
        <v>84364.800000000003</v>
      </c>
      <c r="C5" s="15">
        <f>IF(Calculations!$B5&lt;age_when_money_runs_out,Calculations!D5,"")</f>
        <v>8436.4800000000014</v>
      </c>
      <c r="D5" s="15">
        <f>IF(Calculations!$B5&lt;age_when_money_runs_out,Calculations!E5,"")</f>
        <v>65563.62</v>
      </c>
      <c r="E5" s="15">
        <f>IF(Calculations!$B5&lt;age_when_money_runs_out,Calculations!F5,"")</f>
        <v>10364.700000000012</v>
      </c>
      <c r="F5" s="15">
        <f>IF(Calculations!$B5&lt;age_when_money_runs_out,Calculations!G5,"")</f>
        <v>53627.952000000005</v>
      </c>
      <c r="G5" s="15">
        <f>IF(Calculations!$B5&lt;age_when_money_runs_out,Calculations!H5,"")</f>
        <v>4290.2361600000004</v>
      </c>
      <c r="H5" s="15">
        <f>IF(Calculations!$B5&lt;age_when_money_runs_out,Calculations!I5,"")</f>
        <v>0</v>
      </c>
      <c r="I5" s="15">
        <f>IF(Calculations!$B5&lt;age_when_money_runs_out,Calculations!J5,"")</f>
        <v>68282.888160000017</v>
      </c>
      <c r="J5" s="15">
        <f>IF(Calculations!$B5&lt;age_when_money_runs_out,Calculations!K5,"")</f>
        <v>14654.936160000012</v>
      </c>
    </row>
    <row r="6" spans="1:10" x14ac:dyDescent="0.2">
      <c r="A6">
        <f>IF(Calculations!$B6&lt;age_when_money_runs_out,Calculations!B6,"")</f>
        <v>33</v>
      </c>
      <c r="B6" s="15">
        <f>IF(Calculations!$B6&lt;age_when_money_runs_out,Calculations!C6,"")</f>
        <v>87739.392000000007</v>
      </c>
      <c r="C6" s="15">
        <f>IF(Calculations!$B6&lt;age_when_money_runs_out,Calculations!D6,"")</f>
        <v>8773.9392000000007</v>
      </c>
      <c r="D6" s="15">
        <f>IF(Calculations!$B6&lt;age_when_money_runs_out,Calculations!E6,"")</f>
        <v>67530.528599999991</v>
      </c>
      <c r="E6" s="15">
        <f>IF(Calculations!$B6&lt;age_when_money_runs_out,Calculations!F6,"")</f>
        <v>11434.924200000023</v>
      </c>
      <c r="F6" s="15">
        <f>IF(Calculations!$B6&lt;age_when_money_runs_out,Calculations!G6,"")</f>
        <v>68282.888160000017</v>
      </c>
      <c r="G6" s="15">
        <f>IF(Calculations!$B6&lt;age_when_money_runs_out,Calculations!H6,"")</f>
        <v>5462.6310528000013</v>
      </c>
      <c r="H6" s="15">
        <f>IF(Calculations!$B6&lt;age_when_money_runs_out,Calculations!I6,"")</f>
        <v>0</v>
      </c>
      <c r="I6" s="15">
        <f>IF(Calculations!$B6&lt;age_when_money_runs_out,Calculations!J6,"")</f>
        <v>85180.443412800043</v>
      </c>
      <c r="J6" s="15">
        <f>IF(Calculations!$B6&lt;age_when_money_runs_out,Calculations!K6,"")</f>
        <v>16897.555252800026</v>
      </c>
    </row>
    <row r="7" spans="1:10" x14ac:dyDescent="0.2">
      <c r="A7">
        <f>IF(Calculations!$B7&lt;age_when_money_runs_out,Calculations!B7,"")</f>
        <v>34</v>
      </c>
      <c r="B7" s="15">
        <f>IF(Calculations!$B7&lt;age_when_money_runs_out,Calculations!C7,"")</f>
        <v>91248.967680000002</v>
      </c>
      <c r="C7" s="15">
        <f>IF(Calculations!$B7&lt;age_when_money_runs_out,Calculations!D7,"")</f>
        <v>9124.8967680000005</v>
      </c>
      <c r="D7" s="15">
        <f>IF(Calculations!$B7&lt;age_when_money_runs_out,Calculations!E7,"")</f>
        <v>69556.444457999984</v>
      </c>
      <c r="E7" s="15">
        <f>IF(Calculations!$B7&lt;age_when_money_runs_out,Calculations!F7,"")</f>
        <v>12567.626454000012</v>
      </c>
      <c r="F7" s="15">
        <f>IF(Calculations!$B7&lt;age_when_money_runs_out,Calculations!G7,"")</f>
        <v>85180.443412800043</v>
      </c>
      <c r="G7" s="15">
        <f>IF(Calculations!$B7&lt;age_when_money_runs_out,Calculations!H7,"")</f>
        <v>6814.4354730240038</v>
      </c>
      <c r="H7" s="15">
        <f>IF(Calculations!$B7&lt;age_when_money_runs_out,Calculations!I7,"")</f>
        <v>0</v>
      </c>
      <c r="I7" s="15">
        <f>IF(Calculations!$B7&lt;age_when_money_runs_out,Calculations!J7,"")</f>
        <v>104562.50533982406</v>
      </c>
      <c r="J7" s="15">
        <f>IF(Calculations!$B7&lt;age_when_money_runs_out,Calculations!K7,"")</f>
        <v>19382.061927024013</v>
      </c>
    </row>
    <row r="8" spans="1:10" x14ac:dyDescent="0.2">
      <c r="A8">
        <f>IF(Calculations!$B8&lt;age_when_money_runs_out,Calculations!B8,"")</f>
        <v>35</v>
      </c>
      <c r="B8" s="15">
        <f>IF(Calculations!$B8&lt;age_when_money_runs_out,Calculations!C8,"")</f>
        <v>94898.926387200001</v>
      </c>
      <c r="C8" s="15">
        <f>IF(Calculations!$B8&lt;age_when_money_runs_out,Calculations!D8,"")</f>
        <v>9489.8926387200008</v>
      </c>
      <c r="D8" s="15">
        <f>IF(Calculations!$B8&lt;age_when_money_runs_out,Calculations!E8,"")</f>
        <v>71643.13779173998</v>
      </c>
      <c r="E8" s="15">
        <f>IF(Calculations!$B8&lt;age_when_money_runs_out,Calculations!F8,"")</f>
        <v>13765.895956740016</v>
      </c>
      <c r="F8" s="15">
        <f>IF(Calculations!$B8&lt;age_when_money_runs_out,Calculations!G8,"")</f>
        <v>104562.50533982406</v>
      </c>
      <c r="G8" s="15">
        <f>IF(Calculations!$B8&lt;age_when_money_runs_out,Calculations!H8,"")</f>
        <v>8365.0004271859252</v>
      </c>
      <c r="H8" s="15">
        <f>IF(Calculations!$B8&lt;age_when_money_runs_out,Calculations!I8,"")</f>
        <v>0</v>
      </c>
      <c r="I8" s="15">
        <f>IF(Calculations!$B8&lt;age_when_money_runs_out,Calculations!J8,"")</f>
        <v>126693.40172374999</v>
      </c>
      <c r="J8" s="15">
        <f>IF(Calculations!$B8&lt;age_when_money_runs_out,Calculations!K8,"")</f>
        <v>22130.896383925938</v>
      </c>
    </row>
    <row r="9" spans="1:10" x14ac:dyDescent="0.2">
      <c r="A9">
        <f>IF(Calculations!$B9&lt;age_when_money_runs_out,Calculations!B9,"")</f>
        <v>36</v>
      </c>
      <c r="B9" s="15">
        <f>IF(Calculations!$B9&lt;age_when_money_runs_out,Calculations!C9,"")</f>
        <v>98694.883442688006</v>
      </c>
      <c r="C9" s="15">
        <f>IF(Calculations!$B9&lt;age_when_money_runs_out,Calculations!D9,"")</f>
        <v>9869.4883442688006</v>
      </c>
      <c r="D9" s="15">
        <f>IF(Calculations!$B9&lt;age_when_money_runs_out,Calculations!E9,"")</f>
        <v>73792.431925492187</v>
      </c>
      <c r="E9" s="15">
        <f>IF(Calculations!$B9&lt;age_when_money_runs_out,Calculations!F9,"")</f>
        <v>15032.963172927019</v>
      </c>
      <c r="F9" s="15">
        <f>IF(Calculations!$B9&lt;age_when_money_runs_out,Calculations!G9,"")</f>
        <v>126693.40172374999</v>
      </c>
      <c r="G9" s="15">
        <f>IF(Calculations!$B9&lt;age_when_money_runs_out,Calculations!H9,"")</f>
        <v>10135.4721379</v>
      </c>
      <c r="H9" s="15">
        <f>IF(Calculations!$B9&lt;age_when_money_runs_out,Calculations!I9,"")</f>
        <v>0</v>
      </c>
      <c r="I9" s="15">
        <f>IF(Calculations!$B9&lt;age_when_money_runs_out,Calculations!J9,"")</f>
        <v>151861.83703457701</v>
      </c>
      <c r="J9" s="15">
        <f>IF(Calculations!$B9&lt;age_when_money_runs_out,Calculations!K9,"")</f>
        <v>25168.435310827015</v>
      </c>
    </row>
    <row r="10" spans="1:10" x14ac:dyDescent="0.2">
      <c r="A10">
        <f>IF(Calculations!$B10&lt;age_when_money_runs_out,Calculations!B10,"")</f>
        <v>37</v>
      </c>
      <c r="B10" s="15">
        <f>IF(Calculations!$B10&lt;age_when_money_runs_out,Calculations!C10,"")</f>
        <v>102642.67878039552</v>
      </c>
      <c r="C10" s="15">
        <f>IF(Calculations!$B10&lt;age_when_money_runs_out,Calculations!D10,"")</f>
        <v>10264.267878039553</v>
      </c>
      <c r="D10" s="15">
        <f>IF(Calculations!$B10&lt;age_when_money_runs_out,Calculations!E10,"")</f>
        <v>76006.204883256956</v>
      </c>
      <c r="E10" s="15">
        <f>IF(Calculations!$B10&lt;age_when_money_runs_out,Calculations!F10,"")</f>
        <v>16372.206019099016</v>
      </c>
      <c r="F10" s="15">
        <f>IF(Calculations!$B10&lt;age_when_money_runs_out,Calculations!G10,"")</f>
        <v>151861.83703457701</v>
      </c>
      <c r="G10" s="15">
        <f>IF(Calculations!$B10&lt;age_when_money_runs_out,Calculations!H10,"")</f>
        <v>12148.94696276616</v>
      </c>
      <c r="H10" s="15">
        <f>IF(Calculations!$B10&lt;age_when_money_runs_out,Calculations!I10,"")</f>
        <v>0</v>
      </c>
      <c r="I10" s="15">
        <f>IF(Calculations!$B10&lt;age_when_money_runs_out,Calculations!J10,"")</f>
        <v>180382.9900164422</v>
      </c>
      <c r="J10" s="15">
        <f>IF(Calculations!$B10&lt;age_when_money_runs_out,Calculations!K10,"")</f>
        <v>28521.152981865191</v>
      </c>
    </row>
    <row r="11" spans="1:10" x14ac:dyDescent="0.2">
      <c r="A11">
        <f>IF(Calculations!$B11&lt;age_when_money_runs_out,Calculations!B11,"")</f>
        <v>38</v>
      </c>
      <c r="B11" s="15">
        <f>IF(Calculations!$B11&lt;age_when_money_runs_out,Calculations!C11,"")</f>
        <v>106748.38593161134</v>
      </c>
      <c r="C11" s="15">
        <f>IF(Calculations!$B11&lt;age_when_money_runs_out,Calculations!D11,"")</f>
        <v>10674.838593161134</v>
      </c>
      <c r="D11" s="15">
        <f>IF(Calculations!$B11&lt;age_when_money_runs_out,Calculations!E11,"")</f>
        <v>78286.391029754668</v>
      </c>
      <c r="E11" s="15">
        <f>IF(Calculations!$B11&lt;age_when_money_runs_out,Calculations!F11,"")</f>
        <v>17787.156308695543</v>
      </c>
      <c r="F11" s="15">
        <f>IF(Calculations!$B11&lt;age_when_money_runs_out,Calculations!G11,"")</f>
        <v>180382.9900164422</v>
      </c>
      <c r="G11" s="15">
        <f>IF(Calculations!$B11&lt;age_when_money_runs_out,Calculations!H11,"")</f>
        <v>14430.639201315376</v>
      </c>
      <c r="H11" s="15">
        <f>IF(Calculations!$B11&lt;age_when_money_runs_out,Calculations!I11,"")</f>
        <v>0</v>
      </c>
      <c r="I11" s="15">
        <f>IF(Calculations!$B11&lt;age_when_money_runs_out,Calculations!J11,"")</f>
        <v>212600.78552645311</v>
      </c>
      <c r="J11" s="15">
        <f>IF(Calculations!$B11&lt;age_when_money_runs_out,Calculations!K11,"")</f>
        <v>32217.79551001091</v>
      </c>
    </row>
    <row r="12" spans="1:10" x14ac:dyDescent="0.2">
      <c r="A12">
        <f>IF(Calculations!$B12&lt;age_when_money_runs_out,Calculations!B12,"")</f>
        <v>39</v>
      </c>
      <c r="B12" s="15">
        <f>IF(Calculations!$B12&lt;age_when_money_runs_out,Calculations!C12,"")</f>
        <v>111018.3213688758</v>
      </c>
      <c r="C12" s="15">
        <f>IF(Calculations!$B12&lt;age_when_money_runs_out,Calculations!D12,"")</f>
        <v>11101.83213688758</v>
      </c>
      <c r="D12" s="15">
        <f>IF(Calculations!$B12&lt;age_when_money_runs_out,Calculations!E12,"")</f>
        <v>80634.982760647312</v>
      </c>
      <c r="E12" s="15">
        <f>IF(Calculations!$B12&lt;age_when_money_runs_out,Calculations!F12,"")</f>
        <v>19281.506471340908</v>
      </c>
      <c r="F12" s="15">
        <f>IF(Calculations!$B12&lt;age_when_money_runs_out,Calculations!G12,"")</f>
        <v>212600.78552645311</v>
      </c>
      <c r="G12" s="15">
        <f>IF(Calculations!$B12&lt;age_when_money_runs_out,Calculations!H12,"")</f>
        <v>17008.062842116247</v>
      </c>
      <c r="H12" s="15">
        <f>IF(Calculations!$B12&lt;age_when_money_runs_out,Calculations!I12,"")</f>
        <v>0</v>
      </c>
      <c r="I12" s="15">
        <f>IF(Calculations!$B12&lt;age_when_money_runs_out,Calculations!J12,"")</f>
        <v>248890.35483991026</v>
      </c>
      <c r="J12" s="15">
        <f>IF(Calculations!$B12&lt;age_when_money_runs_out,Calculations!K12,"")</f>
        <v>36289.569313457148</v>
      </c>
    </row>
    <row r="13" spans="1:10" x14ac:dyDescent="0.2">
      <c r="A13">
        <f>IF(Calculations!$B13&lt;age_when_money_runs_out,Calculations!B13,"")</f>
        <v>40</v>
      </c>
      <c r="B13" s="15">
        <f>IF(Calculations!$B13&lt;age_when_money_runs_out,Calculations!C13,"")</f>
        <v>115459.05422363082</v>
      </c>
      <c r="C13" s="15">
        <f>IF(Calculations!$B13&lt;age_when_money_runs_out,Calculations!D13,"")</f>
        <v>11545.905422363083</v>
      </c>
      <c r="D13" s="15">
        <f>IF(Calculations!$B13&lt;age_when_money_runs_out,Calculations!E13,"")</f>
        <v>83054.032243466732</v>
      </c>
      <c r="E13" s="15">
        <f>IF(Calculations!$B13&lt;age_when_money_runs_out,Calculations!F13,"")</f>
        <v>20859.116557801011</v>
      </c>
      <c r="F13" s="15">
        <f>IF(Calculations!$B13&lt;age_when_money_runs_out,Calculations!G13,"")</f>
        <v>248890.35483991026</v>
      </c>
      <c r="G13" s="15">
        <f>IF(Calculations!$B13&lt;age_when_money_runs_out,Calculations!H13,"")</f>
        <v>19911.228387192819</v>
      </c>
      <c r="H13" s="15">
        <f>IF(Calculations!$B13&lt;age_when_money_runs_out,Calculations!I13,"")</f>
        <v>0</v>
      </c>
      <c r="I13" s="15">
        <f>IF(Calculations!$B13&lt;age_when_money_runs_out,Calculations!J13,"")</f>
        <v>289660.69978490408</v>
      </c>
      <c r="J13" s="15">
        <f>IF(Calculations!$B13&lt;age_when_money_runs_out,Calculations!K13,"")</f>
        <v>40770.34494499382</v>
      </c>
    </row>
    <row r="14" spans="1:10" x14ac:dyDescent="0.2">
      <c r="A14">
        <f>IF(Calculations!$B14&lt;age_when_money_runs_out,Calculations!B14,"")</f>
        <v>41</v>
      </c>
      <c r="B14" s="15">
        <f>IF(Calculations!$B14&lt;age_when_money_runs_out,Calculations!C14,"")</f>
        <v>120077.41639257605</v>
      </c>
      <c r="C14" s="15">
        <f>IF(Calculations!$B14&lt;age_when_money_runs_out,Calculations!D14,"")</f>
        <v>12007.741639257605</v>
      </c>
      <c r="D14" s="15">
        <f>IF(Calculations!$B14&lt;age_when_money_runs_out,Calculations!E14,"")</f>
        <v>85545.653210770732</v>
      </c>
      <c r="E14" s="15">
        <f>IF(Calculations!$B14&lt;age_when_money_runs_out,Calculations!F14,"")</f>
        <v>22524.021542547722</v>
      </c>
      <c r="F14" s="15">
        <f>IF(Calculations!$B14&lt;age_when_money_runs_out,Calculations!G14,"")</f>
        <v>289660.69978490408</v>
      </c>
      <c r="G14" s="15">
        <f>IF(Calculations!$B14&lt;age_when_money_runs_out,Calculations!H14,"")</f>
        <v>23172.855982792327</v>
      </c>
      <c r="H14" s="15">
        <f>IF(Calculations!$B14&lt;age_when_money_runs_out,Calculations!I14,"")</f>
        <v>0</v>
      </c>
      <c r="I14" s="15">
        <f>IF(Calculations!$B14&lt;age_when_money_runs_out,Calculations!J14,"")</f>
        <v>335357.57731024415</v>
      </c>
      <c r="J14" s="15">
        <f>IF(Calculations!$B14&lt;age_when_money_runs_out,Calculations!K14,"")</f>
        <v>45696.877525340067</v>
      </c>
    </row>
    <row r="15" spans="1:10" x14ac:dyDescent="0.2">
      <c r="A15">
        <f>IF(Calculations!$B15&lt;age_when_money_runs_out,Calculations!B15,"")</f>
        <v>42</v>
      </c>
      <c r="B15" s="15">
        <f>IF(Calculations!$B15&lt;age_when_money_runs_out,Calculations!C15,"")</f>
        <v>124880.5130482791</v>
      </c>
      <c r="C15" s="15">
        <f>IF(Calculations!$B15&lt;age_when_money_runs_out,Calculations!D15,"")</f>
        <v>12488.05130482791</v>
      </c>
      <c r="D15" s="15">
        <f>IF(Calculations!$B15&lt;age_when_money_runs_out,Calculations!E15,"")</f>
        <v>88112.022807093846</v>
      </c>
      <c r="E15" s="15">
        <f>IF(Calculations!$B15&lt;age_when_money_runs_out,Calculations!F15,"")</f>
        <v>24280.438936357343</v>
      </c>
      <c r="F15" s="15">
        <f>IF(Calculations!$B15&lt;age_when_money_runs_out,Calculations!G15,"")</f>
        <v>335357.57731024415</v>
      </c>
      <c r="G15" s="15">
        <f>IF(Calculations!$B15&lt;age_when_money_runs_out,Calculations!H15,"")</f>
        <v>26828.606184819531</v>
      </c>
      <c r="H15" s="15">
        <f>IF(Calculations!$B15&lt;age_when_money_runs_out,Calculations!I15,"")</f>
        <v>0</v>
      </c>
      <c r="I15" s="15">
        <f>IF(Calculations!$B15&lt;age_when_money_runs_out,Calculations!J15,"")</f>
        <v>386466.62243142101</v>
      </c>
      <c r="J15" s="15">
        <f>IF(Calculations!$B15&lt;age_when_money_runs_out,Calculations!K15,"")</f>
        <v>51109.045121176867</v>
      </c>
    </row>
    <row r="16" spans="1:10" x14ac:dyDescent="0.2">
      <c r="A16">
        <f>IF(Calculations!$B16&lt;age_when_money_runs_out,Calculations!B16,"")</f>
        <v>43</v>
      </c>
      <c r="B16" s="15">
        <f>IF(Calculations!$B16&lt;age_when_money_runs_out,Calculations!C16,"")</f>
        <v>129875.73357021026</v>
      </c>
      <c r="C16" s="15">
        <f>IF(Calculations!$B16&lt;age_when_money_runs_out,Calculations!D16,"")</f>
        <v>12987.573357021027</v>
      </c>
      <c r="D16" s="15">
        <f>IF(Calculations!$B16&lt;age_when_money_runs_out,Calculations!E16,"")</f>
        <v>90755.383491306668</v>
      </c>
      <c r="E16" s="15">
        <f>IF(Calculations!$B16&lt;age_when_money_runs_out,Calculations!F16,"")</f>
        <v>26132.776721882561</v>
      </c>
      <c r="F16" s="15">
        <f>IF(Calculations!$B16&lt;age_when_money_runs_out,Calculations!G16,"")</f>
        <v>386466.62243142101</v>
      </c>
      <c r="G16" s="15">
        <f>IF(Calculations!$B16&lt;age_when_money_runs_out,Calculations!H16,"")</f>
        <v>30917.32979451368</v>
      </c>
      <c r="H16" s="15">
        <f>IF(Calculations!$B16&lt;age_when_money_runs_out,Calculations!I16,"")</f>
        <v>0</v>
      </c>
      <c r="I16" s="15">
        <f>IF(Calculations!$B16&lt;age_when_money_runs_out,Calculations!J16,"")</f>
        <v>443516.72894781723</v>
      </c>
      <c r="J16" s="15">
        <f>IF(Calculations!$B16&lt;age_when_money_runs_out,Calculations!K16,"")</f>
        <v>57050.106516396219</v>
      </c>
    </row>
    <row r="17" spans="1:10" x14ac:dyDescent="0.2">
      <c r="A17">
        <f>IF(Calculations!$B17&lt;age_when_money_runs_out,Calculations!B17,"")</f>
        <v>44</v>
      </c>
      <c r="B17" s="15">
        <f>IF(Calculations!$B17&lt;age_when_money_runs_out,Calculations!C17,"")</f>
        <v>135070.76291301867</v>
      </c>
      <c r="C17" s="15">
        <f>IF(Calculations!$B17&lt;age_when_money_runs_out,Calculations!D17,"")</f>
        <v>13507.076291301868</v>
      </c>
      <c r="D17" s="15">
        <f>IF(Calculations!$B17&lt;age_when_money_runs_out,Calculations!E17,"")</f>
        <v>93478.044996045865</v>
      </c>
      <c r="E17" s="15">
        <f>IF(Calculations!$B17&lt;age_when_money_runs_out,Calculations!F17,"")</f>
        <v>28085.641625670934</v>
      </c>
      <c r="F17" s="15">
        <f>IF(Calculations!$B17&lt;age_when_money_runs_out,Calculations!G17,"")</f>
        <v>443516.72894781723</v>
      </c>
      <c r="G17" s="15">
        <f>IF(Calculations!$B17&lt;age_when_money_runs_out,Calculations!H17,"")</f>
        <v>35481.338315825378</v>
      </c>
      <c r="H17" s="15">
        <f>IF(Calculations!$B17&lt;age_when_money_runs_out,Calculations!I17,"")</f>
        <v>0</v>
      </c>
      <c r="I17" s="15">
        <f>IF(Calculations!$B17&lt;age_when_money_runs_out,Calculations!J17,"")</f>
        <v>507083.70888931357</v>
      </c>
      <c r="J17" s="15">
        <f>IF(Calculations!$B17&lt;age_when_money_runs_out,Calculations!K17,"")</f>
        <v>63566.979941496335</v>
      </c>
    </row>
    <row r="18" spans="1:10" x14ac:dyDescent="0.2">
      <c r="A18">
        <f>IF(Calculations!$B18&lt;age_when_money_runs_out,Calculations!B18,"")</f>
        <v>45</v>
      </c>
      <c r="B18" s="15">
        <f>IF(Calculations!$B18&lt;age_when_money_runs_out,Calculations!C18,"")</f>
        <v>140473.59342953941</v>
      </c>
      <c r="C18" s="15">
        <f>IF(Calculations!$B18&lt;age_when_money_runs_out,Calculations!D18,"")</f>
        <v>14047.359342953941</v>
      </c>
      <c r="D18" s="15">
        <f>IF(Calculations!$B18&lt;age_when_money_runs_out,Calculations!E18,"")</f>
        <v>96282.38634592724</v>
      </c>
      <c r="E18" s="15">
        <f>IF(Calculations!$B18&lt;age_when_money_runs_out,Calculations!F18,"")</f>
        <v>30143.847740658224</v>
      </c>
      <c r="F18" s="15">
        <f>IF(Calculations!$B18&lt;age_when_money_runs_out,Calculations!G18,"")</f>
        <v>507083.70888931357</v>
      </c>
      <c r="G18" s="15">
        <f>IF(Calculations!$B18&lt;age_when_money_runs_out,Calculations!H18,"")</f>
        <v>40566.696711145087</v>
      </c>
      <c r="H18" s="15">
        <f>IF(Calculations!$B18&lt;age_when_money_runs_out,Calculations!I18,"")</f>
        <v>0</v>
      </c>
      <c r="I18" s="15">
        <f>IF(Calculations!$B18&lt;age_when_money_runs_out,Calculations!J18,"")</f>
        <v>577794.25334111694</v>
      </c>
      <c r="J18" s="15">
        <f>IF(Calculations!$B18&lt;age_when_money_runs_out,Calculations!K18,"")</f>
        <v>70710.544451803376</v>
      </c>
    </row>
    <row r="19" spans="1:10" x14ac:dyDescent="0.2">
      <c r="A19">
        <f>IF(Calculations!$B19&lt;age_when_money_runs_out,Calculations!B19,"")</f>
        <v>46</v>
      </c>
      <c r="B19" s="15">
        <f>IF(Calculations!$B19&lt;age_when_money_runs_out,Calculations!C19,"")</f>
        <v>146092.53716672098</v>
      </c>
      <c r="C19" s="15">
        <f>IF(Calculations!$B19&lt;age_when_money_runs_out,Calculations!D19,"")</f>
        <v>14609.253716672099</v>
      </c>
      <c r="D19" s="15">
        <f>IF(Calculations!$B19&lt;age_when_money_runs_out,Calculations!E19,"")</f>
        <v>99170.857936305052</v>
      </c>
      <c r="E19" s="15">
        <f>IF(Calculations!$B19&lt;age_when_money_runs_out,Calculations!F19,"")</f>
        <v>32312.42551374383</v>
      </c>
      <c r="F19" s="15">
        <f>IF(Calculations!$B19&lt;age_when_money_runs_out,Calculations!G19,"")</f>
        <v>577794.25334111694</v>
      </c>
      <c r="G19" s="15">
        <f>IF(Calculations!$B19&lt;age_when_money_runs_out,Calculations!H19,"")</f>
        <v>46223.540267289354</v>
      </c>
      <c r="H19" s="15">
        <f>IF(Calculations!$B19&lt;age_when_money_runs_out,Calculations!I19,"")</f>
        <v>0</v>
      </c>
      <c r="I19" s="15">
        <f>IF(Calculations!$B19&lt;age_when_money_runs_out,Calculations!J19,"")</f>
        <v>656330.2191221501</v>
      </c>
      <c r="J19" s="15">
        <f>IF(Calculations!$B19&lt;age_when_money_runs_out,Calculations!K19,"")</f>
        <v>78535.965781033156</v>
      </c>
    </row>
    <row r="20" spans="1:10" x14ac:dyDescent="0.2">
      <c r="A20">
        <f>IF(Calculations!$B20&lt;age_when_money_runs_out,Calculations!B20,"")</f>
        <v>47</v>
      </c>
      <c r="B20" s="15">
        <f>IF(Calculations!$B20&lt;age_when_money_runs_out,Calculations!C20,"")</f>
        <v>151936.23865338982</v>
      </c>
      <c r="C20" s="15">
        <f>IF(Calculations!$B20&lt;age_when_money_runs_out,Calculations!D20,"")</f>
        <v>15193.623865338983</v>
      </c>
      <c r="D20" s="15">
        <f>IF(Calculations!$B20&lt;age_when_money_runs_out,Calculations!E20,"")</f>
        <v>102145.9836743942</v>
      </c>
      <c r="E20" s="15">
        <f>IF(Calculations!$B20&lt;age_when_money_runs_out,Calculations!F20,"")</f>
        <v>34596.631113656636</v>
      </c>
      <c r="F20" s="15">
        <f>IF(Calculations!$B20&lt;age_when_money_runs_out,Calculations!G20,"")</f>
        <v>656330.2191221501</v>
      </c>
      <c r="G20" s="15">
        <f>IF(Calculations!$B20&lt;age_when_money_runs_out,Calculations!H20,"")</f>
        <v>52506.417529772007</v>
      </c>
      <c r="H20" s="15">
        <f>IF(Calculations!$B20&lt;age_when_money_runs_out,Calculations!I20,"")</f>
        <v>0</v>
      </c>
      <c r="I20" s="15">
        <f>IF(Calculations!$B20&lt;age_when_money_runs_out,Calculations!J20,"")</f>
        <v>743433.2677655787</v>
      </c>
      <c r="J20" s="15">
        <f>IF(Calculations!$B20&lt;age_when_money_runs_out,Calculations!K20,"")</f>
        <v>87103.048643428599</v>
      </c>
    </row>
    <row r="21" spans="1:10" x14ac:dyDescent="0.2">
      <c r="A21">
        <f>IF(Calculations!$B21&lt;age_when_money_runs_out,Calculations!B21,"")</f>
        <v>48</v>
      </c>
      <c r="B21" s="15">
        <f>IF(Calculations!$B21&lt;age_when_money_runs_out,Calculations!C21,"")</f>
        <v>158013.68819952541</v>
      </c>
      <c r="C21" s="15">
        <f>IF(Calculations!$B21&lt;age_when_money_runs_out,Calculations!D21,"")</f>
        <v>15801.368819952542</v>
      </c>
      <c r="D21" s="15">
        <f>IF(Calculations!$B21&lt;age_when_money_runs_out,Calculations!E21,"")</f>
        <v>105210.36318462603</v>
      </c>
      <c r="E21" s="15">
        <f>IF(Calculations!$B21&lt;age_when_money_runs_out,Calculations!F21,"")</f>
        <v>37001.956194946833</v>
      </c>
      <c r="F21" s="15">
        <f>IF(Calculations!$B21&lt;age_when_money_runs_out,Calculations!G21,"")</f>
        <v>743433.2677655787</v>
      </c>
      <c r="G21" s="15">
        <f>IF(Calculations!$B21&lt;age_when_money_runs_out,Calculations!H21,"")</f>
        <v>59474.661421246296</v>
      </c>
      <c r="H21" s="15">
        <f>IF(Calculations!$B21&lt;age_when_money_runs_out,Calculations!I21,"")</f>
        <v>0</v>
      </c>
      <c r="I21" s="15">
        <f>IF(Calculations!$B21&lt;age_when_money_runs_out,Calculations!J21,"")</f>
        <v>839909.88538177183</v>
      </c>
      <c r="J21" s="15">
        <f>IF(Calculations!$B21&lt;age_when_money_runs_out,Calculations!K21,"")</f>
        <v>96476.617616193136</v>
      </c>
    </row>
    <row r="22" spans="1:10" x14ac:dyDescent="0.2">
      <c r="A22">
        <f>IF(Calculations!$B22&lt;age_when_money_runs_out,Calculations!B22,"")</f>
        <v>49</v>
      </c>
      <c r="B22" s="15">
        <f>IF(Calculations!$B22&lt;age_when_money_runs_out,Calculations!C22,"")</f>
        <v>164334.23572750643</v>
      </c>
      <c r="C22" s="15">
        <f>IF(Calculations!$B22&lt;age_when_money_runs_out,Calculations!D22,"")</f>
        <v>16433.423572750642</v>
      </c>
      <c r="D22" s="15">
        <f>IF(Calculations!$B22&lt;age_when_money_runs_out,Calculations!E22,"")</f>
        <v>108366.67408016481</v>
      </c>
      <c r="E22" s="15">
        <f>IF(Calculations!$B22&lt;age_when_money_runs_out,Calculations!F22,"")</f>
        <v>39534.13807459097</v>
      </c>
      <c r="F22" s="15">
        <f>IF(Calculations!$B22&lt;age_when_money_runs_out,Calculations!G22,"")</f>
        <v>839909.88538177183</v>
      </c>
      <c r="G22" s="15">
        <f>IF(Calculations!$B22&lt;age_when_money_runs_out,Calculations!H22,"")</f>
        <v>67192.790830541751</v>
      </c>
      <c r="H22" s="15">
        <f>IF(Calculations!$B22&lt;age_when_money_runs_out,Calculations!I22,"")</f>
        <v>0</v>
      </c>
      <c r="I22" s="15">
        <f>IF(Calculations!$B22&lt;age_when_money_runs_out,Calculations!J22,"")</f>
        <v>946636.81428690453</v>
      </c>
      <c r="J22" s="15">
        <f>IF(Calculations!$B22&lt;age_when_money_runs_out,Calculations!K22,"")</f>
        <v>106726.92890513269</v>
      </c>
    </row>
    <row r="23" spans="1:10" x14ac:dyDescent="0.2">
      <c r="A23">
        <f>IF(Calculations!$B23&lt;age_when_money_runs_out,Calculations!B23,"")</f>
        <v>50</v>
      </c>
      <c r="B23" s="15">
        <f>IF(Calculations!$B23&lt;age_when_money_runs_out,Calculations!C23,"")</f>
        <v>170907.60515660667</v>
      </c>
      <c r="C23" s="15">
        <f>IF(Calculations!$B23&lt;age_when_money_runs_out,Calculations!D23,"")</f>
        <v>17090.76051566067</v>
      </c>
      <c r="D23" s="15">
        <f>IF(Calculations!$B23&lt;age_when_money_runs_out,Calculations!E23,"")</f>
        <v>111617.67430256975</v>
      </c>
      <c r="E23" s="15">
        <f>IF(Calculations!$B23&lt;age_when_money_runs_out,Calculations!F23,"")</f>
        <v>42199.170338376251</v>
      </c>
      <c r="F23" s="15">
        <f>IF(Calculations!$B23&lt;age_when_money_runs_out,Calculations!G23,"")</f>
        <v>946636.81428690453</v>
      </c>
      <c r="G23" s="15">
        <f>IF(Calculations!$B23&lt;age_when_money_runs_out,Calculations!H23,"")</f>
        <v>75730.945142952361</v>
      </c>
      <c r="H23" s="15">
        <f>IF(Calculations!$B23&lt;age_when_money_runs_out,Calculations!I23,"")</f>
        <v>0</v>
      </c>
      <c r="I23" s="15">
        <f>IF(Calculations!$B23&lt;age_when_money_runs_out,Calculations!J23,"")</f>
        <v>1064566.9297682331</v>
      </c>
      <c r="J23" s="15">
        <f>IF(Calculations!$B23&lt;age_when_money_runs_out,Calculations!K23,"")</f>
        <v>117930.11548132857</v>
      </c>
    </row>
    <row r="24" spans="1:10" x14ac:dyDescent="0.2">
      <c r="A24">
        <f>IF(Calculations!$B24&lt;age_when_money_runs_out,Calculations!B24,"")</f>
        <v>51</v>
      </c>
      <c r="B24" s="15">
        <f>IF(Calculations!$B24&lt;age_when_money_runs_out,Calculations!C24,"")</f>
        <v>177743.90936287094</v>
      </c>
      <c r="C24" s="15">
        <f>IF(Calculations!$B24&lt;age_when_money_runs_out,Calculations!D24,"")</f>
        <v>17774.390936287095</v>
      </c>
      <c r="D24" s="15">
        <f>IF(Calculations!$B24&lt;age_when_money_runs_out,Calculations!E24,"")</f>
        <v>114966.20453164684</v>
      </c>
      <c r="E24" s="15">
        <f>IF(Calculations!$B24&lt;age_when_money_runs_out,Calculations!F24,"")</f>
        <v>45003.31389493699</v>
      </c>
      <c r="F24" s="15">
        <f>IF(Calculations!$B24&lt;age_when_money_runs_out,Calculations!G24,"")</f>
        <v>1064566.9297682331</v>
      </c>
      <c r="G24" s="15">
        <f>IF(Calculations!$B24&lt;age_when_money_runs_out,Calculations!H24,"")</f>
        <v>85165.354381458645</v>
      </c>
      <c r="H24" s="15">
        <f>IF(Calculations!$B24&lt;age_when_money_runs_out,Calculations!I24,"")</f>
        <v>0</v>
      </c>
      <c r="I24" s="15">
        <f>IF(Calculations!$B24&lt;age_when_money_runs_out,Calculations!J24,"")</f>
        <v>1194735.5980446287</v>
      </c>
      <c r="J24" s="15">
        <f>IF(Calculations!$B24&lt;age_when_money_runs_out,Calculations!K24,"")</f>
        <v>130168.66827639565</v>
      </c>
    </row>
    <row r="25" spans="1:10" x14ac:dyDescent="0.2">
      <c r="A25">
        <f>IF(Calculations!$B25&lt;age_when_money_runs_out,Calculations!B25,"")</f>
        <v>52</v>
      </c>
      <c r="B25" s="15">
        <f>IF(Calculations!$B25&lt;age_when_money_runs_out,Calculations!C25,"")</f>
        <v>184853.66573738577</v>
      </c>
      <c r="C25" s="15">
        <f>IF(Calculations!$B25&lt;age_when_money_runs_out,Calculations!D25,"")</f>
        <v>18485.366573738578</v>
      </c>
      <c r="D25" s="15">
        <f>IF(Calculations!$B25&lt;age_when_money_runs_out,Calculations!E25,"")</f>
        <v>118415.19066759625</v>
      </c>
      <c r="E25" s="15">
        <f>IF(Calculations!$B25&lt;age_when_money_runs_out,Calculations!F25,"")</f>
        <v>47953.108496050932</v>
      </c>
      <c r="F25" s="15">
        <f>IF(Calculations!$B25&lt;age_when_money_runs_out,Calculations!G25,"")</f>
        <v>1194735.5980446287</v>
      </c>
      <c r="G25" s="15">
        <f>IF(Calculations!$B25&lt;age_when_money_runs_out,Calculations!H25,"")</f>
        <v>95578.8478435703</v>
      </c>
      <c r="H25" s="15">
        <f>IF(Calculations!$B25&lt;age_when_money_runs_out,Calculations!I25,"")</f>
        <v>0</v>
      </c>
      <c r="I25" s="15">
        <f>IF(Calculations!$B25&lt;age_when_money_runs_out,Calculations!J25,"")</f>
        <v>1338267.55438425</v>
      </c>
      <c r="J25" s="15">
        <f>IF(Calculations!$B25&lt;age_when_money_runs_out,Calculations!K25,"")</f>
        <v>143531.95633962122</v>
      </c>
    </row>
    <row r="26" spans="1:10" x14ac:dyDescent="0.2">
      <c r="A26">
        <f>IF(Calculations!$B26&lt;age_when_money_runs_out,Calculations!B26,"")</f>
        <v>53</v>
      </c>
      <c r="B26" s="15">
        <f>IF(Calculations!$B26&lt;age_when_money_runs_out,Calculations!C26,"")</f>
        <v>192247.8123668812</v>
      </c>
      <c r="C26" s="15">
        <f>IF(Calculations!$B26&lt;age_when_money_runs_out,Calculations!D26,"")</f>
        <v>19224.781236688123</v>
      </c>
      <c r="D26" s="15">
        <f>IF(Calculations!$B26&lt;age_when_money_runs_out,Calculations!E26,"")</f>
        <v>121967.64638762415</v>
      </c>
      <c r="E26" s="15">
        <f>IF(Calculations!$B26&lt;age_when_money_runs_out,Calculations!F26,"")</f>
        <v>51055.384742568946</v>
      </c>
      <c r="F26" s="15">
        <f>IF(Calculations!$B26&lt;age_when_money_runs_out,Calculations!G26,"")</f>
        <v>1338267.55438425</v>
      </c>
      <c r="G26" s="15">
        <f>IF(Calculations!$B26&lt;age_when_money_runs_out,Calculations!H26,"")</f>
        <v>107061.40435074001</v>
      </c>
      <c r="H26" s="15">
        <f>IF(Calculations!$B26&lt;age_when_money_runs_out,Calculations!I26,"")</f>
        <v>0</v>
      </c>
      <c r="I26" s="15">
        <f>IF(Calculations!$B26&lt;age_when_money_runs_out,Calculations!J26,"")</f>
        <v>1496384.3434775588</v>
      </c>
      <c r="J26" s="15">
        <f>IF(Calculations!$B26&lt;age_when_money_runs_out,Calculations!K26,"")</f>
        <v>158116.78909330885</v>
      </c>
    </row>
    <row r="27" spans="1:10" x14ac:dyDescent="0.2">
      <c r="A27">
        <f>IF(Calculations!$B27&lt;age_when_money_runs_out,Calculations!B27,"")</f>
        <v>54</v>
      </c>
      <c r="B27" s="15">
        <f>IF(Calculations!$B27&lt;age_when_money_runs_out,Calculations!C27,"")</f>
        <v>199937.72486155646</v>
      </c>
      <c r="C27" s="15">
        <f>IF(Calculations!$B27&lt;age_when_money_runs_out,Calculations!D27,"")</f>
        <v>19993.772486155649</v>
      </c>
      <c r="D27" s="15">
        <f>IF(Calculations!$B27&lt;age_when_money_runs_out,Calculations!E27,"")</f>
        <v>125626.67577925287</v>
      </c>
      <c r="E27" s="15">
        <f>IF(Calculations!$B27&lt;age_when_money_runs_out,Calculations!F27,"")</f>
        <v>54317.276596147945</v>
      </c>
      <c r="F27" s="15">
        <f>IF(Calculations!$B27&lt;age_when_money_runs_out,Calculations!G27,"")</f>
        <v>1496384.3434775588</v>
      </c>
      <c r="G27" s="15">
        <f>IF(Calculations!$B27&lt;age_when_money_runs_out,Calculations!H27,"")</f>
        <v>119710.74747820471</v>
      </c>
      <c r="H27" s="15">
        <f>IF(Calculations!$B27&lt;age_when_money_runs_out,Calculations!I27,"")</f>
        <v>0</v>
      </c>
      <c r="I27" s="15">
        <f>IF(Calculations!$B27&lt;age_when_money_runs_out,Calculations!J27,"")</f>
        <v>1670412.3675519114</v>
      </c>
      <c r="J27" s="15">
        <f>IF(Calculations!$B27&lt;age_when_money_runs_out,Calculations!K27,"")</f>
        <v>174028.02407435258</v>
      </c>
    </row>
    <row r="28" spans="1:10" x14ac:dyDescent="0.2">
      <c r="A28">
        <f>IF(Calculations!$B28&lt;age_when_money_runs_out,Calculations!B28,"")</f>
        <v>55</v>
      </c>
      <c r="B28" s="15">
        <f>IF(Calculations!$B28&lt;age_when_money_runs_out,Calculations!C28,"")</f>
        <v>207935.23385601872</v>
      </c>
      <c r="C28" s="15">
        <f>IF(Calculations!$B28&lt;age_when_money_runs_out,Calculations!D28,"")</f>
        <v>20793.523385601875</v>
      </c>
      <c r="D28" s="15">
        <f>IF(Calculations!$B28&lt;age_when_money_runs_out,Calculations!E28,"")</f>
        <v>129395.47605263045</v>
      </c>
      <c r="E28" s="15">
        <f>IF(Calculations!$B28&lt;age_when_money_runs_out,Calculations!F28,"")</f>
        <v>57746.234417786385</v>
      </c>
      <c r="F28" s="15">
        <f>IF(Calculations!$B28&lt;age_when_money_runs_out,Calculations!G28,"")</f>
        <v>1670412.3675519114</v>
      </c>
      <c r="G28" s="15">
        <f>IF(Calculations!$B28&lt;age_when_money_runs_out,Calculations!H28,"")</f>
        <v>133632.9894041529</v>
      </c>
      <c r="H28" s="15">
        <f>IF(Calculations!$B28&lt;age_when_money_runs_out,Calculations!I28,"")</f>
        <v>0</v>
      </c>
      <c r="I28" s="15">
        <f>IF(Calculations!$B28&lt;age_when_money_runs_out,Calculations!J28,"")</f>
        <v>1861791.5913738506</v>
      </c>
      <c r="J28" s="15">
        <f>IF(Calculations!$B28&lt;age_when_money_runs_out,Calculations!K28,"")</f>
        <v>191379.2238219392</v>
      </c>
    </row>
    <row r="29" spans="1:10" x14ac:dyDescent="0.2">
      <c r="A29">
        <f>IF(Calculations!$B29&lt;age_when_money_runs_out,Calculations!B29,"")</f>
        <v>56</v>
      </c>
      <c r="B29" s="15">
        <f>IF(Calculations!$B29&lt;age_when_money_runs_out,Calculations!C29,"")</f>
        <v>216252.64321025947</v>
      </c>
      <c r="C29" s="15">
        <f>IF(Calculations!$B29&lt;age_when_money_runs_out,Calculations!D29,"")</f>
        <v>21625.264321025948</v>
      </c>
      <c r="D29" s="15">
        <f>IF(Calculations!$B29&lt;age_when_money_runs_out,Calculations!E29,"")</f>
        <v>133277.34033420935</v>
      </c>
      <c r="E29" s="15">
        <f>IF(Calculations!$B29&lt;age_when_money_runs_out,Calculations!F29,"")</f>
        <v>61350.038555024163</v>
      </c>
      <c r="F29" s="15">
        <f>IF(Calculations!$B29&lt;age_when_money_runs_out,Calculations!G29,"")</f>
        <v>1861791.5913738506</v>
      </c>
      <c r="G29" s="15">
        <f>IF(Calculations!$B29&lt;age_when_money_runs_out,Calculations!H29,"")</f>
        <v>148943.32730990805</v>
      </c>
      <c r="H29" s="15">
        <f>IF(Calculations!$B29&lt;age_when_money_runs_out,Calculations!I29,"")</f>
        <v>0</v>
      </c>
      <c r="I29" s="15">
        <f>IF(Calculations!$B29&lt;age_when_money_runs_out,Calculations!J29,"")</f>
        <v>2072084.9572387829</v>
      </c>
      <c r="J29" s="15">
        <f>IF(Calculations!$B29&lt;age_when_money_runs_out,Calculations!K29,"")</f>
        <v>210293.3658649323</v>
      </c>
    </row>
    <row r="30" spans="1:10" x14ac:dyDescent="0.2">
      <c r="A30">
        <f>IF(Calculations!$B30&lt;age_when_money_runs_out,Calculations!B30,"")</f>
        <v>57</v>
      </c>
      <c r="B30" s="15">
        <f>IF(Calculations!$B30&lt;age_when_money_runs_out,Calculations!C30,"")</f>
        <v>224902.74893866986</v>
      </c>
      <c r="C30" s="15">
        <f>IF(Calculations!$B30&lt;age_when_money_runs_out,Calculations!D30,"")</f>
        <v>22490.274893866987</v>
      </c>
      <c r="D30" s="15">
        <f>IF(Calculations!$B30&lt;age_when_money_runs_out,Calculations!E30,"")</f>
        <v>137275.66054423564</v>
      </c>
      <c r="E30" s="15">
        <f>IF(Calculations!$B30&lt;age_when_money_runs_out,Calculations!F30,"")</f>
        <v>65136.813500567223</v>
      </c>
      <c r="F30" s="15">
        <f>IF(Calculations!$B30&lt;age_when_money_runs_out,Calculations!G30,"")</f>
        <v>2072084.9572387829</v>
      </c>
      <c r="G30" s="15">
        <f>IF(Calculations!$B30&lt;age_when_money_runs_out,Calculations!H30,"")</f>
        <v>165766.79657910264</v>
      </c>
      <c r="H30" s="15">
        <f>IF(Calculations!$B30&lt;age_when_money_runs_out,Calculations!I30,"")</f>
        <v>0</v>
      </c>
      <c r="I30" s="15">
        <f>IF(Calculations!$B30&lt;age_when_money_runs_out,Calculations!J30,"")</f>
        <v>2302988.5673184525</v>
      </c>
      <c r="J30" s="15">
        <f>IF(Calculations!$B30&lt;age_when_money_runs_out,Calculations!K30,"")</f>
        <v>230903.61007966963</v>
      </c>
    </row>
    <row r="31" spans="1:10" x14ac:dyDescent="0.2">
      <c r="A31">
        <f>IF(Calculations!$B31&lt;age_when_money_runs_out,Calculations!B31,"")</f>
        <v>58</v>
      </c>
      <c r="B31" s="15">
        <f>IF(Calculations!$B31&lt;age_when_money_runs_out,Calculations!C31,"")</f>
        <v>233898.85889621664</v>
      </c>
      <c r="C31" s="15">
        <f>IF(Calculations!$B31&lt;age_when_money_runs_out,Calculations!D31,"")</f>
        <v>23389.885889621666</v>
      </c>
      <c r="D31" s="15">
        <f>IF(Calculations!$B31&lt;age_when_money_runs_out,Calculations!E31,"")</f>
        <v>141393.93036056269</v>
      </c>
      <c r="E31" s="15">
        <f>IF(Calculations!$B31&lt;age_when_money_runs_out,Calculations!F31,"")</f>
        <v>69115.042646032292</v>
      </c>
      <c r="F31" s="15">
        <f>IF(Calculations!$B31&lt;age_when_money_runs_out,Calculations!G31,"")</f>
        <v>2302988.5673184525</v>
      </c>
      <c r="G31" s="15">
        <f>IF(Calculations!$B31&lt;age_when_money_runs_out,Calculations!H31,"")</f>
        <v>184239.08538547621</v>
      </c>
      <c r="H31" s="15">
        <f>IF(Calculations!$B31&lt;age_when_money_runs_out,Calculations!I31,"")</f>
        <v>0</v>
      </c>
      <c r="I31" s="15">
        <f>IF(Calculations!$B31&lt;age_when_money_runs_out,Calculations!J31,"")</f>
        <v>2556342.6953499611</v>
      </c>
      <c r="J31" s="15">
        <f>IF(Calculations!$B31&lt;age_when_money_runs_out,Calculations!K31,"")</f>
        <v>253354.12803150853</v>
      </c>
    </row>
    <row r="32" spans="1:10" x14ac:dyDescent="0.2">
      <c r="A32">
        <f>IF(Calculations!$B32&lt;age_when_money_runs_out,Calculations!B32,"")</f>
        <v>59</v>
      </c>
      <c r="B32" s="15">
        <f>IF(Calculations!$B32&lt;age_when_money_runs_out,Calculations!C32,"")</f>
        <v>243254.8132520653</v>
      </c>
      <c r="C32" s="15">
        <f>IF(Calculations!$B32&lt;age_when_money_runs_out,Calculations!D32,"")</f>
        <v>24325.481325206532</v>
      </c>
      <c r="D32" s="15">
        <f>IF(Calculations!$B32&lt;age_when_money_runs_out,Calculations!E32,"")</f>
        <v>145635.74827137956</v>
      </c>
      <c r="E32" s="15">
        <f>IF(Calculations!$B32&lt;age_when_money_runs_out,Calculations!F32,"")</f>
        <v>73293.583655479219</v>
      </c>
      <c r="F32" s="15">
        <f>IF(Calculations!$B32&lt;age_when_money_runs_out,Calculations!G32,"")</f>
        <v>2556342.6953499611</v>
      </c>
      <c r="G32" s="15">
        <f>IF(Calculations!$B32&lt;age_when_money_runs_out,Calculations!H32,"")</f>
        <v>204507.4156279969</v>
      </c>
      <c r="H32" s="15">
        <f>IF(Calculations!$B32&lt;age_when_money_runs_out,Calculations!I32,"")</f>
        <v>0</v>
      </c>
      <c r="I32" s="15">
        <f>IF(Calculations!$B32&lt;age_when_money_runs_out,Calculations!J32,"")</f>
        <v>2834143.6946334373</v>
      </c>
      <c r="J32" s="15">
        <f>IF(Calculations!$B32&lt;age_when_money_runs_out,Calculations!K32,"")</f>
        <v>277800.99928347627</v>
      </c>
    </row>
    <row r="33" spans="1:10" x14ac:dyDescent="0.2">
      <c r="A33">
        <f>IF(Calculations!$B33&lt;age_when_money_runs_out,Calculations!B33,"")</f>
        <v>60</v>
      </c>
      <c r="B33" s="15">
        <f>IF(Calculations!$B33&lt;age_when_money_runs_out,Calculations!C33,"")</f>
        <v>252985.00578214793</v>
      </c>
      <c r="C33" s="15">
        <f>IF(Calculations!$B33&lt;age_when_money_runs_out,Calculations!D33,"")</f>
        <v>25298.500578214793</v>
      </c>
      <c r="D33" s="15">
        <f>IF(Calculations!$B33&lt;age_when_money_runs_out,Calculations!E33,"")</f>
        <v>150004.82071952094</v>
      </c>
      <c r="E33" s="15">
        <f>IF(Calculations!$B33&lt;age_when_money_runs_out,Calculations!F33,"")</f>
        <v>77681.684484412195</v>
      </c>
      <c r="F33" s="15">
        <f>IF(Calculations!$B33&lt;age_when_money_runs_out,Calculations!G33,"")</f>
        <v>2834143.6946334373</v>
      </c>
      <c r="G33" s="15">
        <f>IF(Calculations!$B33&lt;age_when_money_runs_out,Calculations!H33,"")</f>
        <v>226731.495570675</v>
      </c>
      <c r="H33" s="15">
        <f>IF(Calculations!$B33&lt;age_when_money_runs_out,Calculations!I33,"")</f>
        <v>0</v>
      </c>
      <c r="I33" s="15">
        <f>IF(Calculations!$B33&lt;age_when_money_runs_out,Calculations!J33,"")</f>
        <v>3138556.8746885248</v>
      </c>
      <c r="J33" s="15">
        <f>IF(Calculations!$B33&lt;age_when_money_runs_out,Calculations!K33,"")</f>
        <v>304413.18005508743</v>
      </c>
    </row>
    <row r="34" spans="1:10" x14ac:dyDescent="0.2">
      <c r="A34">
        <f>IF(Calculations!$B34&lt;age_when_money_runs_out,Calculations!B34,"")</f>
        <v>61</v>
      </c>
      <c r="B34" s="15">
        <f>IF(Calculations!$B34&lt;age_when_money_runs_out,Calculations!C34,"")</f>
        <v>263104.40601343382</v>
      </c>
      <c r="C34" s="15">
        <f>IF(Calculations!$B34&lt;age_when_money_runs_out,Calculations!D34,"")</f>
        <v>26310.440601343384</v>
      </c>
      <c r="D34" s="15">
        <f>IF(Calculations!$B34&lt;age_when_money_runs_out,Calculations!E34,"")</f>
        <v>154504.96534110658</v>
      </c>
      <c r="E34" s="15">
        <f>IF(Calculations!$B34&lt;age_when_money_runs_out,Calculations!F34,"")</f>
        <v>82289.000070983864</v>
      </c>
      <c r="F34" s="15">
        <f>IF(Calculations!$B34&lt;age_when_money_runs_out,Calculations!G34,"")</f>
        <v>3138556.8746885248</v>
      </c>
      <c r="G34" s="15">
        <f>IF(Calculations!$B34&lt;age_when_money_runs_out,Calculations!H34,"")</f>
        <v>251084.54997508199</v>
      </c>
      <c r="H34" s="15">
        <f>IF(Calculations!$B34&lt;age_when_money_runs_out,Calculations!I34,"")</f>
        <v>0</v>
      </c>
      <c r="I34" s="15">
        <f>IF(Calculations!$B34&lt;age_when_money_runs_out,Calculations!J34,"")</f>
        <v>3471930.4247345906</v>
      </c>
      <c r="J34" s="15">
        <f>IF(Calculations!$B34&lt;age_when_money_runs_out,Calculations!K34,"")</f>
        <v>333373.55004606582</v>
      </c>
    </row>
    <row r="35" spans="1:10" x14ac:dyDescent="0.2">
      <c r="A35">
        <f>IF(Calculations!$B35&lt;age_when_money_runs_out,Calculations!B35,"")</f>
        <v>62</v>
      </c>
      <c r="B35" s="15">
        <f>IF(Calculations!$B35&lt;age_when_money_runs_out,Calculations!C35,"")</f>
        <v>0</v>
      </c>
      <c r="C35" s="15">
        <f>IF(Calculations!$B35&lt;age_when_money_runs_out,Calculations!D35,"")</f>
        <v>0</v>
      </c>
      <c r="D35" s="15">
        <f>IF(Calculations!$B35&lt;age_when_money_runs_out,Calculations!E35,"")</f>
        <v>159140.11430133978</v>
      </c>
      <c r="E35" s="15">
        <f>IF(Calculations!$B35&lt;age_when_money_runs_out,Calculations!F35,"")</f>
        <v>0</v>
      </c>
      <c r="F35" s="15">
        <f>IF(Calculations!$B35&lt;age_when_money_runs_out,Calculations!G35,"")</f>
        <v>3471930.4247345906</v>
      </c>
      <c r="G35" s="15">
        <f>IF(Calculations!$B35&lt;age_when_money_runs_out,Calculations!H35,"")</f>
        <v>138877.21698938363</v>
      </c>
      <c r="H35" s="15">
        <f>IF(Calculations!$B35&lt;age_when_money_runs_out,Calculations!I35,"")</f>
        <v>159140.11430133978</v>
      </c>
      <c r="I35" s="15">
        <f>IF(Calculations!$B35&lt;age_when_money_runs_out,Calculations!J35,"")</f>
        <v>3451667.5274226344</v>
      </c>
      <c r="J35" s="15">
        <f>IF(Calculations!$B35&lt;age_when_money_runs_out,Calculations!K35,"")</f>
        <v>-20262.897311956156</v>
      </c>
    </row>
    <row r="36" spans="1:10" x14ac:dyDescent="0.2">
      <c r="A36">
        <f>IF(Calculations!$B36&lt;age_when_money_runs_out,Calculations!B36,"")</f>
        <v>63</v>
      </c>
      <c r="B36" s="15">
        <f>IF(Calculations!$B36&lt;age_when_money_runs_out,Calculations!C36,"")</f>
        <v>0</v>
      </c>
      <c r="C36" s="15">
        <f>IF(Calculations!$B36&lt;age_when_money_runs_out,Calculations!D36,"")</f>
        <v>0</v>
      </c>
      <c r="D36" s="15">
        <f>IF(Calculations!$B36&lt;age_when_money_runs_out,Calculations!E36,"")</f>
        <v>163914.31773037999</v>
      </c>
      <c r="E36" s="15">
        <f>IF(Calculations!$B36&lt;age_when_money_runs_out,Calculations!F36,"")</f>
        <v>0</v>
      </c>
      <c r="F36" s="15">
        <f>IF(Calculations!$B36&lt;age_when_money_runs_out,Calculations!G36,"")</f>
        <v>3451667.5274226344</v>
      </c>
      <c r="G36" s="15">
        <f>IF(Calculations!$B36&lt;age_when_money_runs_out,Calculations!H36,"")</f>
        <v>138066.70109690537</v>
      </c>
      <c r="H36" s="15">
        <f>IF(Calculations!$B36&lt;age_when_money_runs_out,Calculations!I36,"")</f>
        <v>163914.31773037999</v>
      </c>
      <c r="I36" s="15">
        <f>IF(Calculations!$B36&lt;age_when_money_runs_out,Calculations!J36,"")</f>
        <v>3425819.9107891601</v>
      </c>
      <c r="J36" s="15">
        <f>IF(Calculations!$B36&lt;age_when_money_runs_out,Calculations!K36,"")</f>
        <v>-25847.616633474361</v>
      </c>
    </row>
    <row r="37" spans="1:10" x14ac:dyDescent="0.2">
      <c r="A37">
        <f>IF(Calculations!$B37&lt;age_when_money_runs_out,Calculations!B37,"")</f>
        <v>64</v>
      </c>
      <c r="B37" s="15">
        <f>IF(Calculations!$B37&lt;age_when_money_runs_out,Calculations!C37,"")</f>
        <v>0</v>
      </c>
      <c r="C37" s="15">
        <f>IF(Calculations!$B37&lt;age_when_money_runs_out,Calculations!D37,"")</f>
        <v>0</v>
      </c>
      <c r="D37" s="15">
        <f>IF(Calculations!$B37&lt;age_when_money_runs_out,Calculations!E37,"")</f>
        <v>168831.74726229138</v>
      </c>
      <c r="E37" s="15">
        <f>IF(Calculations!$B37&lt;age_when_money_runs_out,Calculations!F37,"")</f>
        <v>0</v>
      </c>
      <c r="F37" s="15">
        <f>IF(Calculations!$B37&lt;age_when_money_runs_out,Calculations!G37,"")</f>
        <v>3425819.9107891601</v>
      </c>
      <c r="G37" s="15">
        <f>IF(Calculations!$B37&lt;age_when_money_runs_out,Calculations!H37,"")</f>
        <v>137032.79643156641</v>
      </c>
      <c r="H37" s="15">
        <f>IF(Calculations!$B37&lt;age_when_money_runs_out,Calculations!I37,"")</f>
        <v>168831.74726229138</v>
      </c>
      <c r="I37" s="15">
        <f>IF(Calculations!$B37&lt;age_when_money_runs_out,Calculations!J37,"")</f>
        <v>3394020.959958435</v>
      </c>
      <c r="J37" s="15">
        <f>IF(Calculations!$B37&lt;age_when_money_runs_out,Calculations!K37,"")</f>
        <v>-31798.950830725022</v>
      </c>
    </row>
    <row r="38" spans="1:10" x14ac:dyDescent="0.2">
      <c r="A38">
        <f>IF(Calculations!$B38&lt;age_when_money_runs_out,Calculations!B38,"")</f>
        <v>65</v>
      </c>
      <c r="B38" s="15">
        <f>IF(Calculations!$B38&lt;age_when_money_runs_out,Calculations!C38,"")</f>
        <v>0</v>
      </c>
      <c r="C38" s="15">
        <f>IF(Calculations!$B38&lt;age_when_money_runs_out,Calculations!D38,"")</f>
        <v>0</v>
      </c>
      <c r="D38" s="15">
        <f>IF(Calculations!$B38&lt;age_when_money_runs_out,Calculations!E38,"")</f>
        <v>173896.69968016012</v>
      </c>
      <c r="E38" s="15">
        <f>IF(Calculations!$B38&lt;age_when_money_runs_out,Calculations!F38,"")</f>
        <v>0</v>
      </c>
      <c r="F38" s="15">
        <f>IF(Calculations!$B38&lt;age_when_money_runs_out,Calculations!G38,"")</f>
        <v>3394020.959958435</v>
      </c>
      <c r="G38" s="15">
        <f>IF(Calculations!$B38&lt;age_when_money_runs_out,Calculations!H38,"")</f>
        <v>135760.83839833739</v>
      </c>
      <c r="H38" s="15">
        <f>IF(Calculations!$B38&lt;age_when_money_runs_out,Calculations!I38,"")</f>
        <v>173896.69968016012</v>
      </c>
      <c r="I38" s="15">
        <f>IF(Calculations!$B38&lt;age_when_money_runs_out,Calculations!J38,"")</f>
        <v>3355885.0986766121</v>
      </c>
      <c r="J38" s="15">
        <f>IF(Calculations!$B38&lt;age_when_money_runs_out,Calculations!K38,"")</f>
        <v>-38135.861281822901</v>
      </c>
    </row>
    <row r="39" spans="1:10" x14ac:dyDescent="0.2">
      <c r="A39">
        <f>IF(Calculations!$B39&lt;age_when_money_runs_out,Calculations!B39,"")</f>
        <v>66</v>
      </c>
      <c r="B39" s="15">
        <f>IF(Calculations!$B39&lt;age_when_money_runs_out,Calculations!C39,"")</f>
        <v>0</v>
      </c>
      <c r="C39" s="15">
        <f>IF(Calculations!$B39&lt;age_when_money_runs_out,Calculations!D39,"")</f>
        <v>0</v>
      </c>
      <c r="D39" s="15">
        <f>IF(Calculations!$B39&lt;age_when_money_runs_out,Calculations!E39,"")</f>
        <v>179113.60067056492</v>
      </c>
      <c r="E39" s="15">
        <f>IF(Calculations!$B39&lt;age_when_money_runs_out,Calculations!F39,"")</f>
        <v>0</v>
      </c>
      <c r="F39" s="15">
        <f>IF(Calculations!$B39&lt;age_when_money_runs_out,Calculations!G39,"")</f>
        <v>3355885.0986766121</v>
      </c>
      <c r="G39" s="15">
        <f>IF(Calculations!$B39&lt;age_when_money_runs_out,Calculations!H39,"")</f>
        <v>134235.40394706448</v>
      </c>
      <c r="H39" s="15">
        <f>IF(Calculations!$B39&lt;age_when_money_runs_out,Calculations!I39,"")</f>
        <v>179113.60067056492</v>
      </c>
      <c r="I39" s="15">
        <f>IF(Calculations!$B39&lt;age_when_money_runs_out,Calculations!J39,"")</f>
        <v>3311006.9019531119</v>
      </c>
      <c r="J39" s="15">
        <f>IF(Calculations!$B39&lt;age_when_money_runs_out,Calculations!K39,"")</f>
        <v>-44878.196723500267</v>
      </c>
    </row>
    <row r="40" spans="1:10" x14ac:dyDescent="0.2">
      <c r="A40">
        <f>IF(Calculations!$B40&lt;age_when_money_runs_out,Calculations!B40,"")</f>
        <v>67</v>
      </c>
      <c r="B40" s="15">
        <f>IF(Calculations!$B40&lt;age_when_money_runs_out,Calculations!C40,"")</f>
        <v>0</v>
      </c>
      <c r="C40" s="15">
        <f>IF(Calculations!$B40&lt;age_when_money_runs_out,Calculations!D40,"")</f>
        <v>0</v>
      </c>
      <c r="D40" s="15">
        <f>IF(Calculations!$B40&lt;age_when_money_runs_out,Calculations!E40,"")</f>
        <v>184487.00869068186</v>
      </c>
      <c r="E40" s="15">
        <f>IF(Calculations!$B40&lt;age_when_money_runs_out,Calculations!F40,"")</f>
        <v>0</v>
      </c>
      <c r="F40" s="15">
        <f>IF(Calculations!$B40&lt;age_when_money_runs_out,Calculations!G40,"")</f>
        <v>3311006.9019531119</v>
      </c>
      <c r="G40" s="15">
        <f>IF(Calculations!$B40&lt;age_when_money_runs_out,Calculations!H40,"")</f>
        <v>132440.27607812447</v>
      </c>
      <c r="H40" s="15">
        <f>IF(Calculations!$B40&lt;age_when_money_runs_out,Calculations!I40,"")</f>
        <v>184487.00869068186</v>
      </c>
      <c r="I40" s="15">
        <f>IF(Calculations!$B40&lt;age_when_money_runs_out,Calculations!J40,"")</f>
        <v>3258960.1693405546</v>
      </c>
      <c r="J40" s="15">
        <f>IF(Calculations!$B40&lt;age_when_money_runs_out,Calculations!K40,"")</f>
        <v>-52046.732612557244</v>
      </c>
    </row>
    <row r="41" spans="1:10" x14ac:dyDescent="0.2">
      <c r="A41">
        <f>IF(Calculations!$B41&lt;age_when_money_runs_out,Calculations!B41,"")</f>
        <v>68</v>
      </c>
      <c r="B41" s="15">
        <f>IF(Calculations!$B41&lt;age_when_money_runs_out,Calculations!C41,"")</f>
        <v>0</v>
      </c>
      <c r="C41" s="15">
        <f>IF(Calculations!$B41&lt;age_when_money_runs_out,Calculations!D41,"")</f>
        <v>0</v>
      </c>
      <c r="D41" s="15">
        <f>IF(Calculations!$B41&lt;age_when_money_runs_out,Calculations!E41,"")</f>
        <v>190021.61895140231</v>
      </c>
      <c r="E41" s="15">
        <f>IF(Calculations!$B41&lt;age_when_money_runs_out,Calculations!F41,"")</f>
        <v>0</v>
      </c>
      <c r="F41" s="15">
        <f>IF(Calculations!$B41&lt;age_when_money_runs_out,Calculations!G41,"")</f>
        <v>3258960.1693405546</v>
      </c>
      <c r="G41" s="15">
        <f>IF(Calculations!$B41&lt;age_when_money_runs_out,Calculations!H41,"")</f>
        <v>130358.40677362219</v>
      </c>
      <c r="H41" s="15">
        <f>IF(Calculations!$B41&lt;age_when_money_runs_out,Calculations!I41,"")</f>
        <v>190021.61895140231</v>
      </c>
      <c r="I41" s="15">
        <f>IF(Calculations!$B41&lt;age_when_money_runs_out,Calculations!J41,"")</f>
        <v>3199296.9571627746</v>
      </c>
      <c r="J41" s="15">
        <f>IF(Calculations!$B41&lt;age_when_money_runs_out,Calculations!K41,"")</f>
        <v>-59663.212177779991</v>
      </c>
    </row>
    <row r="42" spans="1:10" x14ac:dyDescent="0.2">
      <c r="A42">
        <f>IF(Calculations!$B42&lt;age_when_money_runs_out,Calculations!B42,"")</f>
        <v>69</v>
      </c>
      <c r="B42" s="15">
        <f>IF(Calculations!$B42&lt;age_when_money_runs_out,Calculations!C42,"")</f>
        <v>0</v>
      </c>
      <c r="C42" s="15">
        <f>IF(Calculations!$B42&lt;age_when_money_runs_out,Calculations!D42,"")</f>
        <v>0</v>
      </c>
      <c r="D42" s="15">
        <f>IF(Calculations!$B42&lt;age_when_money_runs_out,Calculations!E42,"")</f>
        <v>195722.26751994438</v>
      </c>
      <c r="E42" s="15">
        <f>IF(Calculations!$B42&lt;age_when_money_runs_out,Calculations!F42,"")</f>
        <v>0</v>
      </c>
      <c r="F42" s="15">
        <f>IF(Calculations!$B42&lt;age_when_money_runs_out,Calculations!G42,"")</f>
        <v>3199296.9571627746</v>
      </c>
      <c r="G42" s="15">
        <f>IF(Calculations!$B42&lt;age_when_money_runs_out,Calculations!H42,"")</f>
        <v>127971.87828651098</v>
      </c>
      <c r="H42" s="15">
        <f>IF(Calculations!$B42&lt;age_when_money_runs_out,Calculations!I42,"")</f>
        <v>195722.26751994438</v>
      </c>
      <c r="I42" s="15">
        <f>IF(Calculations!$B42&lt;age_when_money_runs_out,Calculations!J42,"")</f>
        <v>3131546.5679293415</v>
      </c>
      <c r="J42" s="15">
        <f>IF(Calculations!$B42&lt;age_when_money_runs_out,Calculations!K42,"")</f>
        <v>-67750.389233433176</v>
      </c>
    </row>
    <row r="43" spans="1:10" x14ac:dyDescent="0.2">
      <c r="A43">
        <f>IF(Calculations!$B43&lt;age_when_money_runs_out,Calculations!B43,"")</f>
        <v>70</v>
      </c>
      <c r="B43" s="15">
        <f>IF(Calculations!$B43&lt;age_when_money_runs_out,Calculations!C43,"")</f>
        <v>0</v>
      </c>
      <c r="C43" s="15">
        <f>IF(Calculations!$B43&lt;age_when_money_runs_out,Calculations!D43,"")</f>
        <v>0</v>
      </c>
      <c r="D43" s="15">
        <f>IF(Calculations!$B43&lt;age_when_money_runs_out,Calculations!E43,"")</f>
        <v>201593.93554554271</v>
      </c>
      <c r="E43" s="15">
        <f>IF(Calculations!$B43&lt;age_when_money_runs_out,Calculations!F43,"")</f>
        <v>0</v>
      </c>
      <c r="F43" s="15">
        <f>IF(Calculations!$B43&lt;age_when_money_runs_out,Calculations!G43,"")</f>
        <v>3131546.5679293415</v>
      </c>
      <c r="G43" s="15">
        <f>IF(Calculations!$B43&lt;age_when_money_runs_out,Calculations!H43,"")</f>
        <v>125261.86271717366</v>
      </c>
      <c r="H43" s="15">
        <f>IF(Calculations!$B43&lt;age_when_money_runs_out,Calculations!I43,"")</f>
        <v>201593.93554554271</v>
      </c>
      <c r="I43" s="15">
        <f>IF(Calculations!$B43&lt;age_when_money_runs_out,Calculations!J43,"")</f>
        <v>3055214.4951009722</v>
      </c>
      <c r="J43" s="15">
        <f>IF(Calculations!$B43&lt;age_when_money_runs_out,Calculations!K43,"")</f>
        <v>-76332.072828369215</v>
      </c>
    </row>
    <row r="44" spans="1:10" x14ac:dyDescent="0.2">
      <c r="A44">
        <f>IF(Calculations!$B44&lt;age_when_money_runs_out,Calculations!B44,"")</f>
        <v>71</v>
      </c>
      <c r="B44" s="15">
        <f>IF(Calculations!$B44&lt;age_when_money_runs_out,Calculations!C44,"")</f>
        <v>0</v>
      </c>
      <c r="C44" s="15">
        <f>IF(Calculations!$B44&lt;age_when_money_runs_out,Calculations!D44,"")</f>
        <v>0</v>
      </c>
      <c r="D44" s="15">
        <f>IF(Calculations!$B44&lt;age_when_money_runs_out,Calculations!E44,"")</f>
        <v>207641.75361190899</v>
      </c>
      <c r="E44" s="15">
        <f>IF(Calculations!$B44&lt;age_when_money_runs_out,Calculations!F44,"")</f>
        <v>0</v>
      </c>
      <c r="F44" s="15">
        <f>IF(Calculations!$B44&lt;age_when_money_runs_out,Calculations!G44,"")</f>
        <v>3055214.4951009722</v>
      </c>
      <c r="G44" s="15">
        <f>IF(Calculations!$B44&lt;age_when_money_runs_out,Calculations!H44,"")</f>
        <v>122208.57980403889</v>
      </c>
      <c r="H44" s="15">
        <f>IF(Calculations!$B44&lt;age_when_money_runs_out,Calculations!I44,"")</f>
        <v>207641.75361190899</v>
      </c>
      <c r="I44" s="15">
        <f>IF(Calculations!$B44&lt;age_when_money_runs_out,Calculations!J44,"")</f>
        <v>2969781.3212931026</v>
      </c>
      <c r="J44" s="15">
        <f>IF(Calculations!$B44&lt;age_when_money_runs_out,Calculations!K44,"")</f>
        <v>-85433.173807869665</v>
      </c>
    </row>
    <row r="45" spans="1:10" x14ac:dyDescent="0.2">
      <c r="A45">
        <f>IF(Calculations!$B45&lt;age_when_money_runs_out,Calculations!B45,"")</f>
        <v>72</v>
      </c>
      <c r="B45" s="15">
        <f>IF(Calculations!$B45&lt;age_when_money_runs_out,Calculations!C45,"")</f>
        <v>0</v>
      </c>
      <c r="C45" s="15">
        <f>IF(Calculations!$B45&lt;age_when_money_runs_out,Calculations!D45,"")</f>
        <v>0</v>
      </c>
      <c r="D45" s="15">
        <f>IF(Calculations!$B45&lt;age_when_money_runs_out,Calculations!E45,"")</f>
        <v>213871.00622026625</v>
      </c>
      <c r="E45" s="15">
        <f>IF(Calculations!$B45&lt;age_when_money_runs_out,Calculations!F45,"")</f>
        <v>0</v>
      </c>
      <c r="F45" s="15">
        <f>IF(Calculations!$B45&lt;age_when_money_runs_out,Calculations!G45,"")</f>
        <v>2969781.3212931026</v>
      </c>
      <c r="G45" s="15">
        <f>IF(Calculations!$B45&lt;age_when_money_runs_out,Calculations!H45,"")</f>
        <v>118791.2528517241</v>
      </c>
      <c r="H45" s="15">
        <f>IF(Calculations!$B45&lt;age_when_money_runs_out,Calculations!I45,"")</f>
        <v>213871.00622026625</v>
      </c>
      <c r="I45" s="15">
        <f>IF(Calculations!$B45&lt;age_when_money_runs_out,Calculations!J45,"")</f>
        <v>2874701.5679245605</v>
      </c>
      <c r="J45" s="15">
        <f>IF(Calculations!$B45&lt;age_when_money_runs_out,Calculations!K45,"")</f>
        <v>-95079.753368542064</v>
      </c>
    </row>
    <row r="46" spans="1:10" x14ac:dyDescent="0.2">
      <c r="A46">
        <f>IF(Calculations!$B46&lt;age_when_money_runs_out,Calculations!B46,"")</f>
        <v>73</v>
      </c>
      <c r="B46" s="15">
        <f>IF(Calculations!$B46&lt;age_when_money_runs_out,Calculations!C46,"")</f>
        <v>0</v>
      </c>
      <c r="C46" s="15">
        <f>IF(Calculations!$B46&lt;age_when_money_runs_out,Calculations!D46,"")</f>
        <v>0</v>
      </c>
      <c r="D46" s="15">
        <f>IF(Calculations!$B46&lt;age_when_money_runs_out,Calculations!E46,"")</f>
        <v>220287.13640687423</v>
      </c>
      <c r="E46" s="15">
        <f>IF(Calculations!$B46&lt;age_when_money_runs_out,Calculations!F46,"")</f>
        <v>0</v>
      </c>
      <c r="F46" s="15">
        <f>IF(Calculations!$B46&lt;age_when_money_runs_out,Calculations!G46,"")</f>
        <v>2874701.5679245605</v>
      </c>
      <c r="G46" s="15">
        <f>IF(Calculations!$B46&lt;age_when_money_runs_out,Calculations!H46,"")</f>
        <v>114988.06271698243</v>
      </c>
      <c r="H46" s="15">
        <f>IF(Calculations!$B46&lt;age_when_money_runs_out,Calculations!I46,"")</f>
        <v>220287.13640687423</v>
      </c>
      <c r="I46" s="15">
        <f>IF(Calculations!$B46&lt;age_when_money_runs_out,Calculations!J46,"")</f>
        <v>2769402.4942346686</v>
      </c>
      <c r="J46" s="15">
        <f>IF(Calculations!$B46&lt;age_when_money_runs_out,Calculations!K46,"")</f>
        <v>-105299.07368989196</v>
      </c>
    </row>
    <row r="47" spans="1:10" x14ac:dyDescent="0.2">
      <c r="A47">
        <f>IF(Calculations!$B47&lt;age_when_money_runs_out,Calculations!B47,"")</f>
        <v>74</v>
      </c>
      <c r="B47" s="15">
        <f>IF(Calculations!$B47&lt;age_when_money_runs_out,Calculations!C47,"")</f>
        <v>0</v>
      </c>
      <c r="C47" s="15">
        <f>IF(Calculations!$B47&lt;age_when_money_runs_out,Calculations!D47,"")</f>
        <v>0</v>
      </c>
      <c r="D47" s="15">
        <f>IF(Calculations!$B47&lt;age_when_money_runs_out,Calculations!E47,"")</f>
        <v>226895.75049908046</v>
      </c>
      <c r="E47" s="15">
        <f>IF(Calculations!$B47&lt;age_when_money_runs_out,Calculations!F47,"")</f>
        <v>0</v>
      </c>
      <c r="F47" s="15">
        <f>IF(Calculations!$B47&lt;age_when_money_runs_out,Calculations!G47,"")</f>
        <v>2769402.4942346686</v>
      </c>
      <c r="G47" s="15">
        <f>IF(Calculations!$B47&lt;age_when_money_runs_out,Calculations!H47,"")</f>
        <v>110776.09976938674</v>
      </c>
      <c r="H47" s="15">
        <f>IF(Calculations!$B47&lt;age_when_money_runs_out,Calculations!I47,"")</f>
        <v>226895.75049908046</v>
      </c>
      <c r="I47" s="15">
        <f>IF(Calculations!$B47&lt;age_when_money_runs_out,Calculations!J47,"")</f>
        <v>2653282.8435049751</v>
      </c>
      <c r="J47" s="15">
        <f>IF(Calculations!$B47&lt;age_when_money_runs_out,Calculations!K47,"")</f>
        <v>-116119.65072969347</v>
      </c>
    </row>
    <row r="48" spans="1:10" x14ac:dyDescent="0.2">
      <c r="A48">
        <f>IF(Calculations!$B48&lt;age_when_money_runs_out,Calculations!B48,"")</f>
        <v>75</v>
      </c>
      <c r="B48" s="15">
        <f>IF(Calculations!$B48&lt;age_when_money_runs_out,Calculations!C48,"")</f>
        <v>0</v>
      </c>
      <c r="C48" s="15">
        <f>IF(Calculations!$B48&lt;age_when_money_runs_out,Calculations!D48,"")</f>
        <v>0</v>
      </c>
      <c r="D48" s="15">
        <f>IF(Calculations!$B48&lt;age_when_money_runs_out,Calculations!E48,"")</f>
        <v>233702.62301405286</v>
      </c>
      <c r="E48" s="15">
        <f>IF(Calculations!$B48&lt;age_when_money_runs_out,Calculations!F48,"")</f>
        <v>0</v>
      </c>
      <c r="F48" s="15">
        <f>IF(Calculations!$B48&lt;age_when_money_runs_out,Calculations!G48,"")</f>
        <v>2653282.8435049751</v>
      </c>
      <c r="G48" s="15">
        <f>IF(Calculations!$B48&lt;age_when_money_runs_out,Calculations!H48,"")</f>
        <v>106131.31374019901</v>
      </c>
      <c r="H48" s="15">
        <f>IF(Calculations!$B48&lt;age_when_money_runs_out,Calculations!I48,"")</f>
        <v>233702.62301405286</v>
      </c>
      <c r="I48" s="15">
        <f>IF(Calculations!$B48&lt;age_when_money_runs_out,Calculations!J48,"")</f>
        <v>2525711.5342311212</v>
      </c>
      <c r="J48" s="15">
        <f>IF(Calculations!$B48&lt;age_when_money_runs_out,Calculations!K48,"")</f>
        <v>-127571.3092738539</v>
      </c>
    </row>
    <row r="49" spans="1:10" x14ac:dyDescent="0.2">
      <c r="A49">
        <f>IF(Calculations!$B49&lt;age_when_money_runs_out,Calculations!B49,"")</f>
        <v>76</v>
      </c>
      <c r="B49" s="15">
        <f>IF(Calculations!$B49&lt;age_when_money_runs_out,Calculations!C49,"")</f>
        <v>0</v>
      </c>
      <c r="C49" s="15">
        <f>IF(Calculations!$B49&lt;age_when_money_runs_out,Calculations!D49,"")</f>
        <v>0</v>
      </c>
      <c r="D49" s="15">
        <f>IF(Calculations!$B49&lt;age_when_money_runs_out,Calculations!E49,"")</f>
        <v>240713.70170447446</v>
      </c>
      <c r="E49" s="15">
        <f>IF(Calculations!$B49&lt;age_when_money_runs_out,Calculations!F49,"")</f>
        <v>0</v>
      </c>
      <c r="F49" s="15">
        <f>IF(Calculations!$B49&lt;age_when_money_runs_out,Calculations!G49,"")</f>
        <v>2525711.5342311212</v>
      </c>
      <c r="G49" s="15">
        <f>IF(Calculations!$B49&lt;age_when_money_runs_out,Calculations!H49,"")</f>
        <v>101028.46136924485</v>
      </c>
      <c r="H49" s="15">
        <f>IF(Calculations!$B49&lt;age_when_money_runs_out,Calculations!I49,"")</f>
        <v>240713.70170447446</v>
      </c>
      <c r="I49" s="15">
        <f>IF(Calculations!$B49&lt;age_when_money_runs_out,Calculations!J49,"")</f>
        <v>2386026.2938958914</v>
      </c>
      <c r="J49" s="15">
        <f>IF(Calculations!$B49&lt;age_when_money_runs_out,Calculations!K49,"")</f>
        <v>-139685.24033522978</v>
      </c>
    </row>
    <row r="50" spans="1:10" x14ac:dyDescent="0.2">
      <c r="A50">
        <f>IF(Calculations!$B50&lt;age_when_money_runs_out,Calculations!B50,"")</f>
        <v>77</v>
      </c>
      <c r="B50" s="15">
        <f>IF(Calculations!$B50&lt;age_when_money_runs_out,Calculations!C50,"")</f>
        <v>0</v>
      </c>
      <c r="C50" s="15">
        <f>IF(Calculations!$B50&lt;age_when_money_runs_out,Calculations!D50,"")</f>
        <v>0</v>
      </c>
      <c r="D50" s="15">
        <f>IF(Calculations!$B50&lt;age_when_money_runs_out,Calculations!E50,"")</f>
        <v>247935.11275560869</v>
      </c>
      <c r="E50" s="15">
        <f>IF(Calculations!$B50&lt;age_when_money_runs_out,Calculations!F50,"")</f>
        <v>0</v>
      </c>
      <c r="F50" s="15">
        <f>IF(Calculations!$B50&lt;age_when_money_runs_out,Calculations!G50,"")</f>
        <v>2386026.2938958914</v>
      </c>
      <c r="G50" s="15">
        <f>IF(Calculations!$B50&lt;age_when_money_runs_out,Calculations!H50,"")</f>
        <v>95441.051755835651</v>
      </c>
      <c r="H50" s="15">
        <f>IF(Calculations!$B50&lt;age_when_money_runs_out,Calculations!I50,"")</f>
        <v>247935.11275560869</v>
      </c>
      <c r="I50" s="15">
        <f>IF(Calculations!$B50&lt;age_when_money_runs_out,Calculations!J50,"")</f>
        <v>2233532.2328961184</v>
      </c>
      <c r="J50" s="15">
        <f>IF(Calculations!$B50&lt;age_when_money_runs_out,Calculations!K50,"")</f>
        <v>-152494.06099977298</v>
      </c>
    </row>
    <row r="51" spans="1:10" x14ac:dyDescent="0.2">
      <c r="A51">
        <f>IF(Calculations!$B51&lt;age_when_money_runs_out,Calculations!B51,"")</f>
        <v>78</v>
      </c>
      <c r="B51" s="15">
        <f>IF(Calculations!$B51&lt;age_when_money_runs_out,Calculations!C51,"")</f>
        <v>0</v>
      </c>
      <c r="C51" s="15">
        <f>IF(Calculations!$B51&lt;age_when_money_runs_out,Calculations!D51,"")</f>
        <v>0</v>
      </c>
      <c r="D51" s="15">
        <f>IF(Calculations!$B51&lt;age_when_money_runs_out,Calculations!E51,"")</f>
        <v>255373.16613827695</v>
      </c>
      <c r="E51" s="15">
        <f>IF(Calculations!$B51&lt;age_when_money_runs_out,Calculations!F51,"")</f>
        <v>0</v>
      </c>
      <c r="F51" s="15">
        <f>IF(Calculations!$B51&lt;age_when_money_runs_out,Calculations!G51,"")</f>
        <v>2233532.2328961184</v>
      </c>
      <c r="G51" s="15">
        <f>IF(Calculations!$B51&lt;age_when_money_runs_out,Calculations!H51,"")</f>
        <v>89341.28931584474</v>
      </c>
      <c r="H51" s="15">
        <f>IF(Calculations!$B51&lt;age_when_money_runs_out,Calculations!I51,"")</f>
        <v>255373.16613827695</v>
      </c>
      <c r="I51" s="15">
        <f>IF(Calculations!$B51&lt;age_when_money_runs_out,Calculations!J51,"")</f>
        <v>2067500.3560736864</v>
      </c>
      <c r="J51" s="15">
        <f>IF(Calculations!$B51&lt;age_when_money_runs_out,Calculations!K51,"")</f>
        <v>-166031.87682243204</v>
      </c>
    </row>
    <row r="52" spans="1:10" x14ac:dyDescent="0.2">
      <c r="A52">
        <f>IF(Calculations!$B52&lt;age_when_money_runs_out,Calculations!B52,"")</f>
        <v>79</v>
      </c>
      <c r="B52" s="15">
        <f>IF(Calculations!$B52&lt;age_when_money_runs_out,Calculations!C52,"")</f>
        <v>0</v>
      </c>
      <c r="C52" s="15">
        <f>IF(Calculations!$B52&lt;age_when_money_runs_out,Calculations!D52,"")</f>
        <v>0</v>
      </c>
      <c r="D52" s="15">
        <f>IF(Calculations!$B52&lt;age_when_money_runs_out,Calculations!E52,"")</f>
        <v>263034.36112242524</v>
      </c>
      <c r="E52" s="15">
        <f>IF(Calculations!$B52&lt;age_when_money_runs_out,Calculations!F52,"")</f>
        <v>0</v>
      </c>
      <c r="F52" s="15">
        <f>IF(Calculations!$B52&lt;age_when_money_runs_out,Calculations!G52,"")</f>
        <v>2067500.3560736864</v>
      </c>
      <c r="G52" s="15">
        <f>IF(Calculations!$B52&lt;age_when_money_runs_out,Calculations!H52,"")</f>
        <v>82700.014242947451</v>
      </c>
      <c r="H52" s="15">
        <f>IF(Calculations!$B52&lt;age_when_money_runs_out,Calculations!I52,"")</f>
        <v>263034.36112242524</v>
      </c>
      <c r="I52" s="15">
        <f>IF(Calculations!$B52&lt;age_when_money_runs_out,Calculations!J52,"")</f>
        <v>1887166.0091942088</v>
      </c>
      <c r="J52" s="15">
        <f>IF(Calculations!$B52&lt;age_when_money_runs_out,Calculations!K52,"")</f>
        <v>-180334.34687947761</v>
      </c>
    </row>
    <row r="53" spans="1:10" x14ac:dyDescent="0.2">
      <c r="A53">
        <f>IF(Calculations!$B53&lt;age_when_money_runs_out,Calculations!B53,"")</f>
        <v>80</v>
      </c>
      <c r="B53" s="15">
        <f>IF(Calculations!$B53&lt;age_when_money_runs_out,Calculations!C53,"")</f>
        <v>0</v>
      </c>
      <c r="C53" s="15">
        <f>IF(Calculations!$B53&lt;age_when_money_runs_out,Calculations!D53,"")</f>
        <v>0</v>
      </c>
      <c r="D53" s="15">
        <f>IF(Calculations!$B53&lt;age_when_money_runs_out,Calculations!E53,"")</f>
        <v>270925.39195609797</v>
      </c>
      <c r="E53" s="15">
        <f>IF(Calculations!$B53&lt;age_when_money_runs_out,Calculations!F53,"")</f>
        <v>0</v>
      </c>
      <c r="F53" s="15">
        <f>IF(Calculations!$B53&lt;age_when_money_runs_out,Calculations!G53,"")</f>
        <v>1887166.0091942088</v>
      </c>
      <c r="G53" s="15">
        <f>IF(Calculations!$B53&lt;age_when_money_runs_out,Calculations!H53,"")</f>
        <v>75486.640367768356</v>
      </c>
      <c r="H53" s="15">
        <f>IF(Calculations!$B53&lt;age_when_money_runs_out,Calculations!I53,"")</f>
        <v>270925.39195609797</v>
      </c>
      <c r="I53" s="15">
        <f>IF(Calculations!$B53&lt;age_when_money_runs_out,Calculations!J53,"")</f>
        <v>1691727.2576058791</v>
      </c>
      <c r="J53" s="15">
        <f>IF(Calculations!$B53&lt;age_when_money_runs_out,Calculations!K53,"")</f>
        <v>-195438.75158832967</v>
      </c>
    </row>
    <row r="54" spans="1:10" x14ac:dyDescent="0.2">
      <c r="A54">
        <f>IF(Calculations!$B54&lt;age_when_money_runs_out,Calculations!B54,"")</f>
        <v>81</v>
      </c>
      <c r="B54" s="15">
        <f>IF(Calculations!$B54&lt;age_when_money_runs_out,Calculations!C54,"")</f>
        <v>0</v>
      </c>
      <c r="C54" s="15">
        <f>IF(Calculations!$B54&lt;age_when_money_runs_out,Calculations!D54,"")</f>
        <v>0</v>
      </c>
      <c r="D54" s="15">
        <f>IF(Calculations!$B54&lt;age_when_money_runs_out,Calculations!E54,"")</f>
        <v>279053.15371478093</v>
      </c>
      <c r="E54" s="15">
        <f>IF(Calculations!$B54&lt;age_when_money_runs_out,Calculations!F54,"")</f>
        <v>0</v>
      </c>
      <c r="F54" s="15">
        <f>IF(Calculations!$B54&lt;age_when_money_runs_out,Calculations!G54,"")</f>
        <v>1691727.2576058791</v>
      </c>
      <c r="G54" s="15">
        <f>IF(Calculations!$B54&lt;age_when_money_runs_out,Calculations!H54,"")</f>
        <v>67669.090304235171</v>
      </c>
      <c r="H54" s="15">
        <f>IF(Calculations!$B54&lt;age_when_money_runs_out,Calculations!I54,"")</f>
        <v>279053.15371478093</v>
      </c>
      <c r="I54" s="15">
        <f>IF(Calculations!$B54&lt;age_when_money_runs_out,Calculations!J54,"")</f>
        <v>1480343.1941953334</v>
      </c>
      <c r="J54" s="15">
        <f>IF(Calculations!$B54&lt;age_when_money_runs_out,Calculations!K54,"")</f>
        <v>-211384.0634105457</v>
      </c>
    </row>
    <row r="55" spans="1:10" x14ac:dyDescent="0.2">
      <c r="A55">
        <f>IF(Calculations!$B55&lt;age_when_money_runs_out,Calculations!B55,"")</f>
        <v>82</v>
      </c>
      <c r="B55" s="15">
        <f>IF(Calculations!$B55&lt;age_when_money_runs_out,Calculations!C55,"")</f>
        <v>0</v>
      </c>
      <c r="C55" s="15">
        <f>IF(Calculations!$B55&lt;age_when_money_runs_out,Calculations!D55,"")</f>
        <v>0</v>
      </c>
      <c r="D55" s="15">
        <f>IF(Calculations!$B55&lt;age_when_money_runs_out,Calculations!E55,"")</f>
        <v>287424.74832622433</v>
      </c>
      <c r="E55" s="15">
        <f>IF(Calculations!$B55&lt;age_when_money_runs_out,Calculations!F55,"")</f>
        <v>0</v>
      </c>
      <c r="F55" s="15">
        <f>IF(Calculations!$B55&lt;age_when_money_runs_out,Calculations!G55,"")</f>
        <v>1480343.1941953334</v>
      </c>
      <c r="G55" s="15">
        <f>IF(Calculations!$B55&lt;age_when_money_runs_out,Calculations!H55,"")</f>
        <v>59213.72776781334</v>
      </c>
      <c r="H55" s="15">
        <f>IF(Calculations!$B55&lt;age_when_money_runs_out,Calculations!I55,"")</f>
        <v>287424.74832622433</v>
      </c>
      <c r="I55" s="15">
        <f>IF(Calculations!$B55&lt;age_when_money_runs_out,Calculations!J55,"")</f>
        <v>1252132.1736369224</v>
      </c>
      <c r="J55" s="15">
        <f>IF(Calculations!$B55&lt;age_when_money_runs_out,Calculations!K55,"")</f>
        <v>-228211.02055841102</v>
      </c>
    </row>
    <row r="56" spans="1:10" x14ac:dyDescent="0.2">
      <c r="A56">
        <f>IF(Calculations!$B56&lt;age_when_money_runs_out,Calculations!B56,"")</f>
        <v>83</v>
      </c>
      <c r="B56" s="15">
        <f>IF(Calculations!$B56&lt;age_when_money_runs_out,Calculations!C56,"")</f>
        <v>0</v>
      </c>
      <c r="C56" s="15">
        <f>IF(Calculations!$B56&lt;age_when_money_runs_out,Calculations!D56,"")</f>
        <v>0</v>
      </c>
      <c r="D56" s="15">
        <f>IF(Calculations!$B56&lt;age_when_money_runs_out,Calculations!E56,"")</f>
        <v>296047.49077601108</v>
      </c>
      <c r="E56" s="15">
        <f>IF(Calculations!$B56&lt;age_when_money_runs_out,Calculations!F56,"")</f>
        <v>0</v>
      </c>
      <c r="F56" s="15">
        <f>IF(Calculations!$B56&lt;age_when_money_runs_out,Calculations!G56,"")</f>
        <v>1252132.1736369224</v>
      </c>
      <c r="G56" s="15">
        <f>IF(Calculations!$B56&lt;age_when_money_runs_out,Calculations!H56,"")</f>
        <v>50085.286945476895</v>
      </c>
      <c r="H56" s="15">
        <f>IF(Calculations!$B56&lt;age_when_money_runs_out,Calculations!I56,"")</f>
        <v>296047.49077601108</v>
      </c>
      <c r="I56" s="15">
        <f>IF(Calculations!$B56&lt;age_when_money_runs_out,Calculations!J56,"")</f>
        <v>1006169.9698063883</v>
      </c>
      <c r="J56" s="15">
        <f>IF(Calculations!$B56&lt;age_when_money_runs_out,Calculations!K56,"")</f>
        <v>-245962.20383053413</v>
      </c>
    </row>
    <row r="57" spans="1:10" x14ac:dyDescent="0.2">
      <c r="A57">
        <f>IF(Calculations!$B57&lt;age_when_money_runs_out,Calculations!B57,"")</f>
        <v>84</v>
      </c>
      <c r="B57" s="15">
        <f>IF(Calculations!$B57&lt;age_when_money_runs_out,Calculations!C57,"")</f>
        <v>0</v>
      </c>
      <c r="C57" s="15">
        <f>IF(Calculations!$B57&lt;age_when_money_runs_out,Calculations!D57,"")</f>
        <v>0</v>
      </c>
      <c r="D57" s="15">
        <f>IF(Calculations!$B57&lt;age_when_money_runs_out,Calculations!E57,"")</f>
        <v>304928.91549929138</v>
      </c>
      <c r="E57" s="15">
        <f>IF(Calculations!$B57&lt;age_when_money_runs_out,Calculations!F57,"")</f>
        <v>0</v>
      </c>
      <c r="F57" s="15">
        <f>IF(Calculations!$B57&lt;age_when_money_runs_out,Calculations!G57,"")</f>
        <v>1006169.9698063883</v>
      </c>
      <c r="G57" s="15">
        <f>IF(Calculations!$B57&lt;age_when_money_runs_out,Calculations!H57,"")</f>
        <v>40246.798792255533</v>
      </c>
      <c r="H57" s="15">
        <f>IF(Calculations!$B57&lt;age_when_money_runs_out,Calculations!I57,"")</f>
        <v>304928.91549929138</v>
      </c>
      <c r="I57" s="15">
        <f>IF(Calculations!$B57&lt;age_when_money_runs_out,Calculations!J57,"")</f>
        <v>741487.85309935245</v>
      </c>
      <c r="J57" s="15">
        <f>IF(Calculations!$B57&lt;age_when_money_runs_out,Calculations!K57,"")</f>
        <v>-264682.11670703581</v>
      </c>
    </row>
    <row r="58" spans="1:10" x14ac:dyDescent="0.2">
      <c r="A58">
        <f>IF(Calculations!$B58&lt;age_when_money_runs_out,Calculations!B58,"")</f>
        <v>85</v>
      </c>
      <c r="B58" s="15">
        <f>IF(Calculations!$B58&lt;age_when_money_runs_out,Calculations!C58,"")</f>
        <v>0</v>
      </c>
      <c r="C58" s="15">
        <f>IF(Calculations!$B58&lt;age_when_money_runs_out,Calculations!D58,"")</f>
        <v>0</v>
      </c>
      <c r="D58" s="15">
        <f>IF(Calculations!$B58&lt;age_when_money_runs_out,Calculations!E58,"")</f>
        <v>314076.7829642701</v>
      </c>
      <c r="E58" s="15">
        <f>IF(Calculations!$B58&lt;age_when_money_runs_out,Calculations!F58,"")</f>
        <v>0</v>
      </c>
      <c r="F58" s="15">
        <f>IF(Calculations!$B58&lt;age_when_money_runs_out,Calculations!G58,"")</f>
        <v>741487.85309935245</v>
      </c>
      <c r="G58" s="15">
        <f>IF(Calculations!$B58&lt;age_when_money_runs_out,Calculations!H58,"")</f>
        <v>29659.514123974099</v>
      </c>
      <c r="H58" s="15">
        <f>IF(Calculations!$B58&lt;age_when_money_runs_out,Calculations!I58,"")</f>
        <v>314076.7829642701</v>
      </c>
      <c r="I58" s="15">
        <f>IF(Calculations!$B58&lt;age_when_money_runs_out,Calculations!J58,"")</f>
        <v>457070.58425905649</v>
      </c>
      <c r="J58" s="15">
        <f>IF(Calculations!$B58&lt;age_when_money_runs_out,Calculations!K58,"")</f>
        <v>-284417.26884029596</v>
      </c>
    </row>
    <row r="59" spans="1:10" x14ac:dyDescent="0.2">
      <c r="A59">
        <f>IF(Calculations!$B59&lt;age_when_money_runs_out,Calculations!B59,"")</f>
        <v>86</v>
      </c>
      <c r="B59" s="15">
        <f>IF(Calculations!$B59&lt;age_when_money_runs_out,Calculations!C59,"")</f>
        <v>0</v>
      </c>
      <c r="C59" s="15">
        <f>IF(Calculations!$B59&lt;age_when_money_runs_out,Calculations!D59,"")</f>
        <v>0</v>
      </c>
      <c r="D59" s="15">
        <f>IF(Calculations!$B59&lt;age_when_money_runs_out,Calculations!E59,"")</f>
        <v>323499.08645319822</v>
      </c>
      <c r="E59" s="15">
        <f>IF(Calculations!$B59&lt;age_when_money_runs_out,Calculations!F59,"")</f>
        <v>0</v>
      </c>
      <c r="F59" s="15">
        <f>IF(Calculations!$B59&lt;age_when_money_runs_out,Calculations!G59,"")</f>
        <v>457070.58425905649</v>
      </c>
      <c r="G59" s="15">
        <f>IF(Calculations!$B59&lt;age_when_money_runs_out,Calculations!H59,"")</f>
        <v>18282.823370362261</v>
      </c>
      <c r="H59" s="15">
        <f>IF(Calculations!$B59&lt;age_when_money_runs_out,Calculations!I59,"")</f>
        <v>323499.08645319822</v>
      </c>
      <c r="I59" s="15">
        <f>IF(Calculations!$B59&lt;age_when_money_runs_out,Calculations!J59,"")</f>
        <v>151854.32117622055</v>
      </c>
      <c r="J59" s="15">
        <f>IF(Calculations!$B59&lt;age_when_money_runs_out,Calculations!K59,"")</f>
        <v>-305216.26308283594</v>
      </c>
    </row>
    <row r="60" spans="1:10" x14ac:dyDescent="0.2">
      <c r="A60" t="str">
        <f>IF(Calculations!$B60&lt;age_when_money_runs_out,Calculations!B60,"")</f>
        <v/>
      </c>
      <c r="B60" s="15" t="str">
        <f>IF(Calculations!$B60&lt;age_when_money_runs_out,Calculations!C60,"")</f>
        <v/>
      </c>
      <c r="C60" s="15" t="str">
        <f>IF(Calculations!$B60&lt;age_when_money_runs_out,Calculations!D60,"")</f>
        <v/>
      </c>
      <c r="D60" s="15" t="str">
        <f>IF(Calculations!$B60&lt;age_when_money_runs_out,Calculations!E60,"")</f>
        <v/>
      </c>
      <c r="E60" s="15" t="str">
        <f>IF(Calculations!$B60&lt;age_when_money_runs_out,Calculations!F60,"")</f>
        <v/>
      </c>
      <c r="F60" s="15" t="str">
        <f>IF(Calculations!$B60&lt;age_when_money_runs_out,Calculations!G60,"")</f>
        <v/>
      </c>
      <c r="G60" s="15" t="str">
        <f>IF(Calculations!$B60&lt;age_when_money_runs_out,Calculations!H60,"")</f>
        <v/>
      </c>
      <c r="H60" s="15" t="str">
        <f>IF(Calculations!$B60&lt;age_when_money_runs_out,Calculations!I60,"")</f>
        <v/>
      </c>
      <c r="I60" s="15" t="str">
        <f>IF(Calculations!$B60&lt;age_when_money_runs_out,Calculations!J60,"")</f>
        <v/>
      </c>
      <c r="J60" s="15" t="str">
        <f>IF(Calculations!$B60&lt;age_when_money_runs_out,Calculations!K60,"")</f>
        <v/>
      </c>
    </row>
    <row r="61" spans="1:10" x14ac:dyDescent="0.2">
      <c r="A61" t="str">
        <f>IF(Calculations!$B61&lt;age_when_money_runs_out,Calculations!B61,"")</f>
        <v/>
      </c>
      <c r="B61" s="15" t="str">
        <f>IF(Calculations!$B61&lt;age_when_money_runs_out,Calculations!C61,"")</f>
        <v/>
      </c>
      <c r="C61" s="15" t="str">
        <f>IF(Calculations!$B61&lt;age_when_money_runs_out,Calculations!D61,"")</f>
        <v/>
      </c>
      <c r="D61" s="15" t="str">
        <f>IF(Calculations!$B61&lt;age_when_money_runs_out,Calculations!E61,"")</f>
        <v/>
      </c>
      <c r="E61" s="15" t="str">
        <f>IF(Calculations!$B61&lt;age_when_money_runs_out,Calculations!F61,"")</f>
        <v/>
      </c>
      <c r="F61" s="15" t="str">
        <f>IF(Calculations!$B61&lt;age_when_money_runs_out,Calculations!G61,"")</f>
        <v/>
      </c>
      <c r="G61" s="15" t="str">
        <f>IF(Calculations!$B61&lt;age_when_money_runs_out,Calculations!H61,"")</f>
        <v/>
      </c>
      <c r="H61" s="15" t="str">
        <f>IF(Calculations!$B61&lt;age_when_money_runs_out,Calculations!I61,"")</f>
        <v/>
      </c>
      <c r="I61" s="15" t="str">
        <f>IF(Calculations!$B61&lt;age_when_money_runs_out,Calculations!J61,"")</f>
        <v/>
      </c>
      <c r="J61" s="15" t="str">
        <f>IF(Calculations!$B61&lt;age_when_money_runs_out,Calculations!K61,"")</f>
        <v/>
      </c>
    </row>
    <row r="62" spans="1:10" x14ac:dyDescent="0.2">
      <c r="A62" t="str">
        <f>IF(Calculations!$B62&lt;age_when_money_runs_out,Calculations!B62,"")</f>
        <v/>
      </c>
      <c r="B62" s="15" t="str">
        <f>IF(Calculations!$B62&lt;age_when_money_runs_out,Calculations!C62,"")</f>
        <v/>
      </c>
      <c r="C62" s="15" t="str">
        <f>IF(Calculations!$B62&lt;age_when_money_runs_out,Calculations!D62,"")</f>
        <v/>
      </c>
      <c r="D62" s="15" t="str">
        <f>IF(Calculations!$B62&lt;age_when_money_runs_out,Calculations!E62,"")</f>
        <v/>
      </c>
      <c r="E62" s="15" t="str">
        <f>IF(Calculations!$B62&lt;age_when_money_runs_out,Calculations!F62,"")</f>
        <v/>
      </c>
      <c r="F62" s="15" t="str">
        <f>IF(Calculations!$B62&lt;age_when_money_runs_out,Calculations!G62,"")</f>
        <v/>
      </c>
      <c r="G62" s="15" t="str">
        <f>IF(Calculations!$B62&lt;age_when_money_runs_out,Calculations!H62,"")</f>
        <v/>
      </c>
      <c r="H62" s="15" t="str">
        <f>IF(Calculations!$B62&lt;age_when_money_runs_out,Calculations!I62,"")</f>
        <v/>
      </c>
      <c r="I62" s="15" t="str">
        <f>IF(Calculations!$B62&lt;age_when_money_runs_out,Calculations!J62,"")</f>
        <v/>
      </c>
      <c r="J62" s="15" t="str">
        <f>IF(Calculations!$B62&lt;age_when_money_runs_out,Calculations!K62,"")</f>
        <v/>
      </c>
    </row>
    <row r="63" spans="1:10" x14ac:dyDescent="0.2">
      <c r="A63" t="str">
        <f>IF(Calculations!$B63&lt;age_when_money_runs_out,Calculations!B63,"")</f>
        <v/>
      </c>
      <c r="B63" s="15" t="str">
        <f>IF(Calculations!$B63&lt;age_when_money_runs_out,Calculations!C63,"")</f>
        <v/>
      </c>
      <c r="C63" s="15" t="str">
        <f>IF(Calculations!$B63&lt;age_when_money_runs_out,Calculations!D63,"")</f>
        <v/>
      </c>
      <c r="D63" s="15" t="str">
        <f>IF(Calculations!$B63&lt;age_when_money_runs_out,Calculations!E63,"")</f>
        <v/>
      </c>
      <c r="E63" s="15" t="str">
        <f>IF(Calculations!$B63&lt;age_when_money_runs_out,Calculations!F63,"")</f>
        <v/>
      </c>
      <c r="F63" s="15" t="str">
        <f>IF(Calculations!$B63&lt;age_when_money_runs_out,Calculations!G63,"")</f>
        <v/>
      </c>
      <c r="G63" s="15" t="str">
        <f>IF(Calculations!$B63&lt;age_when_money_runs_out,Calculations!H63,"")</f>
        <v/>
      </c>
      <c r="H63" s="15" t="str">
        <f>IF(Calculations!$B63&lt;age_when_money_runs_out,Calculations!I63,"")</f>
        <v/>
      </c>
      <c r="I63" s="15" t="str">
        <f>IF(Calculations!$B63&lt;age_when_money_runs_out,Calculations!J63,"")</f>
        <v/>
      </c>
      <c r="J63" s="15" t="str">
        <f>IF(Calculations!$B63&lt;age_when_money_runs_out,Calculations!K63,"")</f>
        <v/>
      </c>
    </row>
    <row r="64" spans="1:10" x14ac:dyDescent="0.2">
      <c r="A64" t="str">
        <f>IF(Calculations!$B64&lt;age_when_money_runs_out,Calculations!B64,"")</f>
        <v/>
      </c>
      <c r="B64" s="15" t="str">
        <f>IF(Calculations!$B64&lt;age_when_money_runs_out,Calculations!C64,"")</f>
        <v/>
      </c>
      <c r="C64" s="15" t="str">
        <f>IF(Calculations!$B64&lt;age_when_money_runs_out,Calculations!D64,"")</f>
        <v/>
      </c>
      <c r="D64" s="15" t="str">
        <f>IF(Calculations!$B64&lt;age_when_money_runs_out,Calculations!E64,"")</f>
        <v/>
      </c>
      <c r="E64" s="15" t="str">
        <f>IF(Calculations!$B64&lt;age_when_money_runs_out,Calculations!F64,"")</f>
        <v/>
      </c>
      <c r="F64" s="15" t="str">
        <f>IF(Calculations!$B64&lt;age_when_money_runs_out,Calculations!G64,"")</f>
        <v/>
      </c>
      <c r="G64" s="15" t="str">
        <f>IF(Calculations!$B64&lt;age_when_money_runs_out,Calculations!H64,"")</f>
        <v/>
      </c>
      <c r="H64" s="15" t="str">
        <f>IF(Calculations!$B64&lt;age_when_money_runs_out,Calculations!I64,"")</f>
        <v/>
      </c>
      <c r="I64" s="15" t="str">
        <f>IF(Calculations!$B64&lt;age_when_money_runs_out,Calculations!J64,"")</f>
        <v/>
      </c>
      <c r="J64" s="15" t="str">
        <f>IF(Calculations!$B64&lt;age_when_money_runs_out,Calculations!K64,"")</f>
        <v/>
      </c>
    </row>
    <row r="65" spans="1:10" x14ac:dyDescent="0.2">
      <c r="A65" t="str">
        <f>IF(Calculations!$B65&lt;age_when_money_runs_out,Calculations!B65,"")</f>
        <v/>
      </c>
      <c r="B65" s="15" t="str">
        <f>IF(Calculations!$B65&lt;age_when_money_runs_out,Calculations!C65,"")</f>
        <v/>
      </c>
      <c r="C65" s="15" t="str">
        <f>IF(Calculations!$B65&lt;age_when_money_runs_out,Calculations!D65,"")</f>
        <v/>
      </c>
      <c r="D65" s="15" t="str">
        <f>IF(Calculations!$B65&lt;age_when_money_runs_out,Calculations!E65,"")</f>
        <v/>
      </c>
      <c r="E65" s="15" t="str">
        <f>IF(Calculations!$B65&lt;age_when_money_runs_out,Calculations!F65,"")</f>
        <v/>
      </c>
      <c r="F65" s="15" t="str">
        <f>IF(Calculations!$B65&lt;age_when_money_runs_out,Calculations!G65,"")</f>
        <v/>
      </c>
      <c r="G65" s="15" t="str">
        <f>IF(Calculations!$B65&lt;age_when_money_runs_out,Calculations!H65,"")</f>
        <v/>
      </c>
      <c r="H65" s="15" t="str">
        <f>IF(Calculations!$B65&lt;age_when_money_runs_out,Calculations!I65,"")</f>
        <v/>
      </c>
      <c r="I65" s="15" t="str">
        <f>IF(Calculations!$B65&lt;age_when_money_runs_out,Calculations!J65,"")</f>
        <v/>
      </c>
      <c r="J65" s="15" t="str">
        <f>IF(Calculations!$B65&lt;age_when_money_runs_out,Calculations!K65,"")</f>
        <v/>
      </c>
    </row>
    <row r="66" spans="1:10" x14ac:dyDescent="0.2">
      <c r="A66" t="str">
        <f>IF(Calculations!$B66&lt;age_when_money_runs_out,Calculations!B66,"")</f>
        <v/>
      </c>
      <c r="B66" s="15" t="str">
        <f>IF(Calculations!$B66&lt;age_when_money_runs_out,Calculations!C66,"")</f>
        <v/>
      </c>
      <c r="C66" s="15" t="str">
        <f>IF(Calculations!$B66&lt;age_when_money_runs_out,Calculations!D66,"")</f>
        <v/>
      </c>
      <c r="D66" s="15" t="str">
        <f>IF(Calculations!$B66&lt;age_when_money_runs_out,Calculations!E66,"")</f>
        <v/>
      </c>
      <c r="E66" s="15" t="str">
        <f>IF(Calculations!$B66&lt;age_when_money_runs_out,Calculations!F66,"")</f>
        <v/>
      </c>
      <c r="F66" s="15" t="str">
        <f>IF(Calculations!$B66&lt;age_when_money_runs_out,Calculations!G66,"")</f>
        <v/>
      </c>
      <c r="G66" s="15" t="str">
        <f>IF(Calculations!$B66&lt;age_when_money_runs_out,Calculations!H66,"")</f>
        <v/>
      </c>
      <c r="H66" s="15" t="str">
        <f>IF(Calculations!$B66&lt;age_when_money_runs_out,Calculations!I66,"")</f>
        <v/>
      </c>
      <c r="I66" s="15" t="str">
        <f>IF(Calculations!$B66&lt;age_when_money_runs_out,Calculations!J66,"")</f>
        <v/>
      </c>
      <c r="J66" s="15" t="str">
        <f>IF(Calculations!$B66&lt;age_when_money_runs_out,Calculations!K66,"")</f>
        <v/>
      </c>
    </row>
    <row r="67" spans="1:10" x14ac:dyDescent="0.2">
      <c r="A67" t="str">
        <f>IF(Calculations!$B67&lt;age_when_money_runs_out,Calculations!B67,"")</f>
        <v/>
      </c>
      <c r="B67" s="15" t="str">
        <f>IF(Calculations!$B67&lt;age_when_money_runs_out,Calculations!C67,"")</f>
        <v/>
      </c>
      <c r="C67" s="15" t="str">
        <f>IF(Calculations!$B67&lt;age_when_money_runs_out,Calculations!D67,"")</f>
        <v/>
      </c>
      <c r="D67" s="15" t="str">
        <f>IF(Calculations!$B67&lt;age_when_money_runs_out,Calculations!E67,"")</f>
        <v/>
      </c>
      <c r="E67" s="15" t="str">
        <f>IF(Calculations!$B67&lt;age_when_money_runs_out,Calculations!F67,"")</f>
        <v/>
      </c>
      <c r="F67" s="15" t="str">
        <f>IF(Calculations!$B67&lt;age_when_money_runs_out,Calculations!G67,"")</f>
        <v/>
      </c>
      <c r="G67" s="15" t="str">
        <f>IF(Calculations!$B67&lt;age_when_money_runs_out,Calculations!H67,"")</f>
        <v/>
      </c>
      <c r="H67" s="15" t="str">
        <f>IF(Calculations!$B67&lt;age_when_money_runs_out,Calculations!I67,"")</f>
        <v/>
      </c>
      <c r="I67" s="15" t="str">
        <f>IF(Calculations!$B67&lt;age_when_money_runs_out,Calculations!J67,"")</f>
        <v/>
      </c>
      <c r="J67" s="15" t="str">
        <f>IF(Calculations!$B67&lt;age_when_money_runs_out,Calculations!K67,"")</f>
        <v/>
      </c>
    </row>
    <row r="68" spans="1:10" x14ac:dyDescent="0.2">
      <c r="A68" t="str">
        <f>IF(Calculations!$B68&lt;age_when_money_runs_out,Calculations!B68,"")</f>
        <v/>
      </c>
      <c r="B68" s="15" t="str">
        <f>IF(Calculations!$B68&lt;age_when_money_runs_out,Calculations!C68,"")</f>
        <v/>
      </c>
      <c r="C68" s="15" t="str">
        <f>IF(Calculations!$B68&lt;age_when_money_runs_out,Calculations!D68,"")</f>
        <v/>
      </c>
      <c r="D68" s="15" t="str">
        <f>IF(Calculations!$B68&lt;age_when_money_runs_out,Calculations!E68,"")</f>
        <v/>
      </c>
      <c r="E68" s="15" t="str">
        <f>IF(Calculations!$B68&lt;age_when_money_runs_out,Calculations!F68,"")</f>
        <v/>
      </c>
      <c r="F68" s="15" t="str">
        <f>IF(Calculations!$B68&lt;age_when_money_runs_out,Calculations!G68,"")</f>
        <v/>
      </c>
      <c r="G68" s="15" t="str">
        <f>IF(Calculations!$B68&lt;age_when_money_runs_out,Calculations!H68,"")</f>
        <v/>
      </c>
      <c r="H68" s="15" t="str">
        <f>IF(Calculations!$B68&lt;age_when_money_runs_out,Calculations!I68,"")</f>
        <v/>
      </c>
      <c r="I68" s="15" t="str">
        <f>IF(Calculations!$B68&lt;age_when_money_runs_out,Calculations!J68,"")</f>
        <v/>
      </c>
      <c r="J68" s="15" t="str">
        <f>IF(Calculations!$B68&lt;age_when_money_runs_out,Calculations!K68,"")</f>
        <v/>
      </c>
    </row>
    <row r="69" spans="1:10" x14ac:dyDescent="0.2">
      <c r="A69" t="str">
        <f>IF(Calculations!$B69&lt;age_when_money_runs_out,Calculations!B69,"")</f>
        <v/>
      </c>
      <c r="B69" s="15" t="str">
        <f>IF(Calculations!$B69&lt;age_when_money_runs_out,Calculations!C69,"")</f>
        <v/>
      </c>
      <c r="C69" s="15" t="str">
        <f>IF(Calculations!$B69&lt;age_when_money_runs_out,Calculations!D69,"")</f>
        <v/>
      </c>
      <c r="D69" s="15" t="str">
        <f>IF(Calculations!$B69&lt;age_when_money_runs_out,Calculations!E69,"")</f>
        <v/>
      </c>
      <c r="E69" s="15" t="str">
        <f>IF(Calculations!$B69&lt;age_when_money_runs_out,Calculations!F69,"")</f>
        <v/>
      </c>
      <c r="F69" s="15" t="str">
        <f>IF(Calculations!$B69&lt;age_when_money_runs_out,Calculations!G69,"")</f>
        <v/>
      </c>
      <c r="G69" s="15" t="str">
        <f>IF(Calculations!$B69&lt;age_when_money_runs_out,Calculations!H69,"")</f>
        <v/>
      </c>
      <c r="H69" s="15" t="str">
        <f>IF(Calculations!$B69&lt;age_when_money_runs_out,Calculations!I69,"")</f>
        <v/>
      </c>
      <c r="I69" s="15" t="str">
        <f>IF(Calculations!$B69&lt;age_when_money_runs_out,Calculations!J69,"")</f>
        <v/>
      </c>
      <c r="J69" s="15" t="str">
        <f>IF(Calculations!$B69&lt;age_when_money_runs_out,Calculations!K69,"")</f>
        <v/>
      </c>
    </row>
    <row r="70" spans="1:10" x14ac:dyDescent="0.2">
      <c r="A70" t="str">
        <f>IF(Calculations!$B70&lt;age_when_money_runs_out,Calculations!B70,"")</f>
        <v/>
      </c>
      <c r="B70" s="15" t="str">
        <f>IF(Calculations!$B70&lt;age_when_money_runs_out,Calculations!C70,"")</f>
        <v/>
      </c>
      <c r="C70" s="15" t="str">
        <f>IF(Calculations!$B70&lt;age_when_money_runs_out,Calculations!D70,"")</f>
        <v/>
      </c>
      <c r="D70" s="15" t="str">
        <f>IF(Calculations!$B70&lt;age_when_money_runs_out,Calculations!E70,"")</f>
        <v/>
      </c>
      <c r="E70" s="15" t="str">
        <f>IF(Calculations!$B70&lt;age_when_money_runs_out,Calculations!F70,"")</f>
        <v/>
      </c>
      <c r="F70" s="15" t="str">
        <f>IF(Calculations!$B70&lt;age_when_money_runs_out,Calculations!G70,"")</f>
        <v/>
      </c>
      <c r="G70" s="15" t="str">
        <f>IF(Calculations!$B70&lt;age_when_money_runs_out,Calculations!H70,"")</f>
        <v/>
      </c>
      <c r="H70" s="15" t="str">
        <f>IF(Calculations!$B70&lt;age_when_money_runs_out,Calculations!I70,"")</f>
        <v/>
      </c>
      <c r="I70" s="15" t="str">
        <f>IF(Calculations!$B70&lt;age_when_money_runs_out,Calculations!J70,"")</f>
        <v/>
      </c>
      <c r="J70" s="15" t="str">
        <f>IF(Calculations!$B70&lt;age_when_money_runs_out,Calculations!K70,"")</f>
        <v/>
      </c>
    </row>
    <row r="71" spans="1:10" x14ac:dyDescent="0.2">
      <c r="A71" t="str">
        <f>IF(Calculations!$B71&lt;age_when_money_runs_out,Calculations!B71,"")</f>
        <v/>
      </c>
      <c r="B71" s="15" t="str">
        <f>IF(Calculations!$B71&lt;age_when_money_runs_out,Calculations!C71,"")</f>
        <v/>
      </c>
      <c r="C71" s="15" t="str">
        <f>IF(Calculations!$B71&lt;age_when_money_runs_out,Calculations!D71,"")</f>
        <v/>
      </c>
      <c r="D71" s="15" t="str">
        <f>IF(Calculations!$B71&lt;age_when_money_runs_out,Calculations!E71,"")</f>
        <v/>
      </c>
      <c r="E71" s="15" t="str">
        <f>IF(Calculations!$B71&lt;age_when_money_runs_out,Calculations!F71,"")</f>
        <v/>
      </c>
      <c r="F71" s="15" t="str">
        <f>IF(Calculations!$B71&lt;age_when_money_runs_out,Calculations!G71,"")</f>
        <v/>
      </c>
      <c r="G71" s="15" t="str">
        <f>IF(Calculations!$B71&lt;age_when_money_runs_out,Calculations!H71,"")</f>
        <v/>
      </c>
      <c r="H71" s="15" t="str">
        <f>IF(Calculations!$B71&lt;age_when_money_runs_out,Calculations!I71,"")</f>
        <v/>
      </c>
      <c r="I71" s="15" t="str">
        <f>IF(Calculations!$B71&lt;age_when_money_runs_out,Calculations!J71,"")</f>
        <v/>
      </c>
      <c r="J71" s="15" t="str">
        <f>IF(Calculations!$B71&lt;age_when_money_runs_out,Calculations!K71,"")</f>
        <v/>
      </c>
    </row>
    <row r="72" spans="1:10" x14ac:dyDescent="0.2">
      <c r="A72" t="str">
        <f>IF(Calculations!$B72&lt;age_when_money_runs_out,Calculations!B72,"")</f>
        <v/>
      </c>
      <c r="B72" s="15" t="str">
        <f>IF(Calculations!$B72&lt;age_when_money_runs_out,Calculations!C72,"")</f>
        <v/>
      </c>
      <c r="C72" s="15" t="str">
        <f>IF(Calculations!$B72&lt;age_when_money_runs_out,Calculations!D72,"")</f>
        <v/>
      </c>
      <c r="D72" s="15" t="str">
        <f>IF(Calculations!$B72&lt;age_when_money_runs_out,Calculations!E72,"")</f>
        <v/>
      </c>
      <c r="E72" s="15" t="str">
        <f>IF(Calculations!$B72&lt;age_when_money_runs_out,Calculations!F72,"")</f>
        <v/>
      </c>
      <c r="F72" s="15" t="str">
        <f>IF(Calculations!$B72&lt;age_when_money_runs_out,Calculations!G72,"")</f>
        <v/>
      </c>
      <c r="G72" s="15" t="str">
        <f>IF(Calculations!$B72&lt;age_when_money_runs_out,Calculations!H72,"")</f>
        <v/>
      </c>
      <c r="H72" s="15" t="str">
        <f>IF(Calculations!$B72&lt;age_when_money_runs_out,Calculations!I72,"")</f>
        <v/>
      </c>
      <c r="I72" s="15" t="str">
        <f>IF(Calculations!$B72&lt;age_when_money_runs_out,Calculations!J72,"")</f>
        <v/>
      </c>
      <c r="J72" s="15" t="str">
        <f>IF(Calculations!$B72&lt;age_when_money_runs_out,Calculations!K72,"")</f>
        <v/>
      </c>
    </row>
    <row r="73" spans="1:10" x14ac:dyDescent="0.2">
      <c r="A73" t="str">
        <f>IF(Calculations!$B73&lt;age_when_money_runs_out,Calculations!B73,"")</f>
        <v/>
      </c>
      <c r="B73" s="15" t="str">
        <f>IF(Calculations!$B73&lt;age_when_money_runs_out,Calculations!C73,"")</f>
        <v/>
      </c>
      <c r="C73" s="15" t="str">
        <f>IF(Calculations!$B73&lt;age_when_money_runs_out,Calculations!D73,"")</f>
        <v/>
      </c>
      <c r="D73" s="15" t="str">
        <f>IF(Calculations!$B73&lt;age_when_money_runs_out,Calculations!E73,"")</f>
        <v/>
      </c>
      <c r="E73" s="15" t="str">
        <f>IF(Calculations!$B73&lt;age_when_money_runs_out,Calculations!F73,"")</f>
        <v/>
      </c>
      <c r="F73" s="15" t="str">
        <f>IF(Calculations!$B73&lt;age_when_money_runs_out,Calculations!G73,"")</f>
        <v/>
      </c>
      <c r="G73" s="15" t="str">
        <f>IF(Calculations!$B73&lt;age_when_money_runs_out,Calculations!H73,"")</f>
        <v/>
      </c>
      <c r="H73" s="15" t="str">
        <f>IF(Calculations!$B73&lt;age_when_money_runs_out,Calculations!I73,"")</f>
        <v/>
      </c>
      <c r="I73" s="15" t="str">
        <f>IF(Calculations!$B73&lt;age_when_money_runs_out,Calculations!J73,"")</f>
        <v/>
      </c>
      <c r="J73" s="15" t="str">
        <f>IF(Calculations!$B73&lt;age_when_money_runs_out,Calculations!K73,"")</f>
        <v/>
      </c>
    </row>
    <row r="74" spans="1:10" x14ac:dyDescent="0.2">
      <c r="A74" t="str">
        <f>IF(Calculations!$B74&lt;age_when_money_runs_out,Calculations!B74,"")</f>
        <v/>
      </c>
      <c r="B74" s="15" t="str">
        <f>IF(Calculations!$B74&lt;age_when_money_runs_out,Calculations!C74,"")</f>
        <v/>
      </c>
      <c r="C74" s="15" t="str">
        <f>IF(Calculations!$B74&lt;age_when_money_runs_out,Calculations!D74,"")</f>
        <v/>
      </c>
      <c r="D74" s="15" t="str">
        <f>IF(Calculations!$B74&lt;age_when_money_runs_out,Calculations!E74,"")</f>
        <v/>
      </c>
      <c r="E74" s="15" t="str">
        <f>IF(Calculations!$B74&lt;age_when_money_runs_out,Calculations!F74,"")</f>
        <v/>
      </c>
      <c r="F74" s="15" t="str">
        <f>IF(Calculations!$B74&lt;age_when_money_runs_out,Calculations!G74,"")</f>
        <v/>
      </c>
      <c r="G74" s="15" t="str">
        <f>IF(Calculations!$B74&lt;age_when_money_runs_out,Calculations!H74,"")</f>
        <v/>
      </c>
      <c r="H74" s="15" t="str">
        <f>IF(Calculations!$B74&lt;age_when_money_runs_out,Calculations!I74,"")</f>
        <v/>
      </c>
      <c r="I74" s="15" t="str">
        <f>IF(Calculations!$B74&lt;age_when_money_runs_out,Calculations!J74,"")</f>
        <v/>
      </c>
      <c r="J74" s="15" t="str">
        <f>IF(Calculations!$B74&lt;age_when_money_runs_out,Calculations!K74,"")</f>
        <v/>
      </c>
    </row>
    <row r="75" spans="1:10" x14ac:dyDescent="0.2">
      <c r="A75" t="str">
        <f>IF(Calculations!$B75&lt;age_when_money_runs_out,Calculations!B75,"")</f>
        <v/>
      </c>
      <c r="B75" s="15" t="str">
        <f>IF(Calculations!$B75&lt;age_when_money_runs_out,Calculations!C75,"")</f>
        <v/>
      </c>
      <c r="C75" s="15" t="str">
        <f>IF(Calculations!$B75&lt;age_when_money_runs_out,Calculations!D75,"")</f>
        <v/>
      </c>
      <c r="D75" s="15" t="str">
        <f>IF(Calculations!$B75&lt;age_when_money_runs_out,Calculations!E75,"")</f>
        <v/>
      </c>
      <c r="E75" s="15" t="str">
        <f>IF(Calculations!$B75&lt;age_when_money_runs_out,Calculations!F75,"")</f>
        <v/>
      </c>
      <c r="F75" s="15" t="str">
        <f>IF(Calculations!$B75&lt;age_when_money_runs_out,Calculations!G75,"")</f>
        <v/>
      </c>
      <c r="G75" s="15" t="str">
        <f>IF(Calculations!$B75&lt;age_when_money_runs_out,Calculations!H75,"")</f>
        <v/>
      </c>
      <c r="H75" s="15" t="str">
        <f>IF(Calculations!$B75&lt;age_when_money_runs_out,Calculations!I75,"")</f>
        <v/>
      </c>
      <c r="I75" s="15" t="str">
        <f>IF(Calculations!$B75&lt;age_when_money_runs_out,Calculations!J75,"")</f>
        <v/>
      </c>
      <c r="J75" s="15" t="str">
        <f>IF(Calculations!$B75&lt;age_when_money_runs_out,Calculations!K75,"")</f>
        <v/>
      </c>
    </row>
    <row r="76" spans="1:10" x14ac:dyDescent="0.2">
      <c r="A76" t="str">
        <f>IF(Calculations!$B76&lt;age_when_money_runs_out,Calculations!B76,"")</f>
        <v/>
      </c>
      <c r="B76" s="15" t="str">
        <f>IF(Calculations!$B76&lt;age_when_money_runs_out,Calculations!C76,"")</f>
        <v/>
      </c>
      <c r="C76" s="15" t="str">
        <f>IF(Calculations!$B76&lt;age_when_money_runs_out,Calculations!D76,"")</f>
        <v/>
      </c>
      <c r="D76" s="15" t="str">
        <f>IF(Calculations!$B76&lt;age_when_money_runs_out,Calculations!E76,"")</f>
        <v/>
      </c>
      <c r="E76" s="15" t="str">
        <f>IF(Calculations!$B76&lt;age_when_money_runs_out,Calculations!F76,"")</f>
        <v/>
      </c>
      <c r="F76" s="15" t="str">
        <f>IF(Calculations!$B76&lt;age_when_money_runs_out,Calculations!G76,"")</f>
        <v/>
      </c>
      <c r="G76" s="15" t="str">
        <f>IF(Calculations!$B76&lt;age_when_money_runs_out,Calculations!H76,"")</f>
        <v/>
      </c>
      <c r="H76" s="15" t="str">
        <f>IF(Calculations!$B76&lt;age_when_money_runs_out,Calculations!I76,"")</f>
        <v/>
      </c>
      <c r="I76" s="15" t="str">
        <f>IF(Calculations!$B76&lt;age_when_money_runs_out,Calculations!J76,"")</f>
        <v/>
      </c>
      <c r="J76" s="15" t="str">
        <f>IF(Calculations!$B76&lt;age_when_money_runs_out,Calculations!K76,"")</f>
        <v/>
      </c>
    </row>
    <row r="77" spans="1:10" x14ac:dyDescent="0.2">
      <c r="A77" t="str">
        <f>IF(Calculations!$B77&lt;age_when_money_runs_out,Calculations!B77,"")</f>
        <v/>
      </c>
      <c r="B77" s="15" t="str">
        <f>IF(Calculations!$B77&lt;age_when_money_runs_out,Calculations!C77,"")</f>
        <v/>
      </c>
      <c r="C77" s="15" t="str">
        <f>IF(Calculations!$B77&lt;age_when_money_runs_out,Calculations!D77,"")</f>
        <v/>
      </c>
      <c r="D77" s="15" t="str">
        <f>IF(Calculations!$B77&lt;age_when_money_runs_out,Calculations!E77,"")</f>
        <v/>
      </c>
      <c r="E77" s="15" t="str">
        <f>IF(Calculations!$B77&lt;age_when_money_runs_out,Calculations!F77,"")</f>
        <v/>
      </c>
      <c r="F77" s="15" t="str">
        <f>IF(Calculations!$B77&lt;age_when_money_runs_out,Calculations!G77,"")</f>
        <v/>
      </c>
      <c r="G77" s="15" t="str">
        <f>IF(Calculations!$B77&lt;age_when_money_runs_out,Calculations!H77,"")</f>
        <v/>
      </c>
      <c r="H77" s="15" t="str">
        <f>IF(Calculations!$B77&lt;age_when_money_runs_out,Calculations!I77,"")</f>
        <v/>
      </c>
      <c r="I77" s="15" t="str">
        <f>IF(Calculations!$B77&lt;age_when_money_runs_out,Calculations!J77,"")</f>
        <v/>
      </c>
      <c r="J77" s="15" t="str">
        <f>IF(Calculations!$B77&lt;age_when_money_runs_out,Calculations!K77,"")</f>
        <v/>
      </c>
    </row>
    <row r="78" spans="1:10" x14ac:dyDescent="0.2">
      <c r="A78" t="str">
        <f>IF(Calculations!$B78&lt;age_when_money_runs_out,Calculations!B78,"")</f>
        <v/>
      </c>
      <c r="B78" s="15" t="str">
        <f>IF(Calculations!$B78&lt;age_when_money_runs_out,Calculations!C78,"")</f>
        <v/>
      </c>
      <c r="C78" s="15" t="str">
        <f>IF(Calculations!$B78&lt;age_when_money_runs_out,Calculations!D78,"")</f>
        <v/>
      </c>
      <c r="D78" s="15" t="str">
        <f>IF(Calculations!$B78&lt;age_when_money_runs_out,Calculations!E78,"")</f>
        <v/>
      </c>
      <c r="E78" s="15" t="str">
        <f>IF(Calculations!$B78&lt;age_when_money_runs_out,Calculations!F78,"")</f>
        <v/>
      </c>
      <c r="F78" s="15" t="str">
        <f>IF(Calculations!$B78&lt;age_when_money_runs_out,Calculations!G78,"")</f>
        <v/>
      </c>
      <c r="G78" s="15" t="str">
        <f>IF(Calculations!$B78&lt;age_when_money_runs_out,Calculations!H78,"")</f>
        <v/>
      </c>
      <c r="H78" s="15" t="str">
        <f>IF(Calculations!$B78&lt;age_when_money_runs_out,Calculations!I78,"")</f>
        <v/>
      </c>
      <c r="I78" s="15" t="str">
        <f>IF(Calculations!$B78&lt;age_when_money_runs_out,Calculations!J78,"")</f>
        <v/>
      </c>
      <c r="J78" s="15" t="str">
        <f>IF(Calculations!$B78&lt;age_when_money_runs_out,Calculations!K78,"")</f>
        <v/>
      </c>
    </row>
    <row r="79" spans="1:10" x14ac:dyDescent="0.2">
      <c r="A79" t="str">
        <f>IF(Calculations!$B79&lt;age_when_money_runs_out,Calculations!B79,"")</f>
        <v/>
      </c>
      <c r="B79" s="15" t="str">
        <f>IF(Calculations!$B79&lt;age_when_money_runs_out,Calculations!C79,"")</f>
        <v/>
      </c>
      <c r="C79" s="15" t="str">
        <f>IF(Calculations!$B79&lt;age_when_money_runs_out,Calculations!D79,"")</f>
        <v/>
      </c>
      <c r="D79" s="15" t="str">
        <f>IF(Calculations!$B79&lt;age_when_money_runs_out,Calculations!E79,"")</f>
        <v/>
      </c>
      <c r="E79" s="15" t="str">
        <f>IF(Calculations!$B79&lt;age_when_money_runs_out,Calculations!F79,"")</f>
        <v/>
      </c>
      <c r="F79" s="15" t="str">
        <f>IF(Calculations!$B79&lt;age_when_money_runs_out,Calculations!G79,"")</f>
        <v/>
      </c>
      <c r="G79" s="15" t="str">
        <f>IF(Calculations!$B79&lt;age_when_money_runs_out,Calculations!H79,"")</f>
        <v/>
      </c>
      <c r="H79" s="15" t="str">
        <f>IF(Calculations!$B79&lt;age_when_money_runs_out,Calculations!I79,"")</f>
        <v/>
      </c>
      <c r="I79" s="15" t="str">
        <f>IF(Calculations!$B79&lt;age_when_money_runs_out,Calculations!J79,"")</f>
        <v/>
      </c>
      <c r="J79" s="15" t="str">
        <f>IF(Calculations!$B79&lt;age_when_money_runs_out,Calculations!K79,"")</f>
        <v/>
      </c>
    </row>
    <row r="80" spans="1:10" x14ac:dyDescent="0.2">
      <c r="A80" t="str">
        <f>IF(Calculations!$B80&lt;age_when_money_runs_out,Calculations!B80,"")</f>
        <v/>
      </c>
      <c r="B80" s="15" t="str">
        <f>IF(Calculations!$B80&lt;age_when_money_runs_out,Calculations!C80,"")</f>
        <v/>
      </c>
      <c r="C80" s="15" t="str">
        <f>IF(Calculations!$B80&lt;age_when_money_runs_out,Calculations!D80,"")</f>
        <v/>
      </c>
      <c r="D80" s="15" t="str">
        <f>IF(Calculations!$B80&lt;age_when_money_runs_out,Calculations!E80,"")</f>
        <v/>
      </c>
      <c r="E80" s="15" t="str">
        <f>IF(Calculations!$B80&lt;age_when_money_runs_out,Calculations!F80,"")</f>
        <v/>
      </c>
      <c r="F80" s="15" t="str">
        <f>IF(Calculations!$B80&lt;age_when_money_runs_out,Calculations!G80,"")</f>
        <v/>
      </c>
      <c r="G80" s="15" t="str">
        <f>IF(Calculations!$B80&lt;age_when_money_runs_out,Calculations!H80,"")</f>
        <v/>
      </c>
      <c r="H80" s="15" t="str">
        <f>IF(Calculations!$B80&lt;age_when_money_runs_out,Calculations!I80,"")</f>
        <v/>
      </c>
      <c r="I80" s="15" t="str">
        <f>IF(Calculations!$B80&lt;age_when_money_runs_out,Calculations!J80,"")</f>
        <v/>
      </c>
      <c r="J80" s="15" t="str">
        <f>IF(Calculations!$B80&lt;age_when_money_runs_out,Calculations!K80,"")</f>
        <v/>
      </c>
    </row>
    <row r="81" spans="1:10" x14ac:dyDescent="0.2">
      <c r="A81" t="str">
        <f>IF(Calculations!$B81&lt;age_when_money_runs_out,Calculations!B81,"")</f>
        <v/>
      </c>
      <c r="B81" s="15" t="str">
        <f>IF(Calculations!$B81&lt;age_when_money_runs_out,Calculations!C81,"")</f>
        <v/>
      </c>
      <c r="C81" s="15" t="str">
        <f>IF(Calculations!$B81&lt;age_when_money_runs_out,Calculations!D81,"")</f>
        <v/>
      </c>
      <c r="D81" s="15" t="str">
        <f>IF(Calculations!$B81&lt;age_when_money_runs_out,Calculations!E81,"")</f>
        <v/>
      </c>
      <c r="E81" s="15" t="str">
        <f>IF(Calculations!$B81&lt;age_when_money_runs_out,Calculations!F81,"")</f>
        <v/>
      </c>
      <c r="F81" s="15" t="str">
        <f>IF(Calculations!$B81&lt;age_when_money_runs_out,Calculations!G81,"")</f>
        <v/>
      </c>
      <c r="G81" s="15" t="str">
        <f>IF(Calculations!$B81&lt;age_when_money_runs_out,Calculations!H81,"")</f>
        <v/>
      </c>
      <c r="H81" s="15" t="str">
        <f>IF(Calculations!$B81&lt;age_when_money_runs_out,Calculations!I81,"")</f>
        <v/>
      </c>
      <c r="I81" s="15" t="str">
        <f>IF(Calculations!$B81&lt;age_when_money_runs_out,Calculations!J81,"")</f>
        <v/>
      </c>
      <c r="J81" s="15" t="str">
        <f>IF(Calculations!$B81&lt;age_when_money_runs_out,Calculations!K81,"")</f>
        <v/>
      </c>
    </row>
    <row r="82" spans="1:10" x14ac:dyDescent="0.2">
      <c r="A82" t="str">
        <f>IF(Calculations!$B82&lt;age_when_money_runs_out,Calculations!B82,"")</f>
        <v/>
      </c>
      <c r="B82" s="15" t="str">
        <f>IF(Calculations!$B82&lt;age_when_money_runs_out,Calculations!C82,"")</f>
        <v/>
      </c>
      <c r="C82" s="15" t="str">
        <f>IF(Calculations!$B82&lt;age_when_money_runs_out,Calculations!D82,"")</f>
        <v/>
      </c>
      <c r="D82" s="15" t="str">
        <f>IF(Calculations!$B82&lt;age_when_money_runs_out,Calculations!E82,"")</f>
        <v/>
      </c>
      <c r="E82" s="15" t="str">
        <f>IF(Calculations!$B82&lt;age_when_money_runs_out,Calculations!F82,"")</f>
        <v/>
      </c>
      <c r="F82" s="15" t="str">
        <f>IF(Calculations!$B82&lt;age_when_money_runs_out,Calculations!G82,"")</f>
        <v/>
      </c>
      <c r="G82" s="15" t="str">
        <f>IF(Calculations!$B82&lt;age_when_money_runs_out,Calculations!H82,"")</f>
        <v/>
      </c>
      <c r="H82" s="15" t="str">
        <f>IF(Calculations!$B82&lt;age_when_money_runs_out,Calculations!I82,"")</f>
        <v/>
      </c>
      <c r="I82" s="15" t="str">
        <f>IF(Calculations!$B82&lt;age_when_money_runs_out,Calculations!J82,"")</f>
        <v/>
      </c>
      <c r="J82" s="15" t="str">
        <f>IF(Calculations!$B82&lt;age_when_money_runs_out,Calculations!K82,"")</f>
        <v/>
      </c>
    </row>
    <row r="83" spans="1:10" x14ac:dyDescent="0.2">
      <c r="A83" t="str">
        <f>IF(Calculations!$B83&lt;age_when_money_runs_out,Calculations!B83,"")</f>
        <v/>
      </c>
      <c r="B83" s="15" t="str">
        <f>IF(Calculations!$B83&lt;age_when_money_runs_out,Calculations!C83,"")</f>
        <v/>
      </c>
      <c r="C83" s="15" t="str">
        <f>IF(Calculations!$B83&lt;age_when_money_runs_out,Calculations!D83,"")</f>
        <v/>
      </c>
      <c r="D83" s="15" t="str">
        <f>IF(Calculations!$B83&lt;age_when_money_runs_out,Calculations!E83,"")</f>
        <v/>
      </c>
      <c r="E83" s="15" t="str">
        <f>IF(Calculations!$B83&lt;age_when_money_runs_out,Calculations!F83,"")</f>
        <v/>
      </c>
      <c r="F83" s="15" t="str">
        <f>IF(Calculations!$B83&lt;age_when_money_runs_out,Calculations!G83,"")</f>
        <v/>
      </c>
      <c r="G83" s="15" t="str">
        <f>IF(Calculations!$B83&lt;age_when_money_runs_out,Calculations!H83,"")</f>
        <v/>
      </c>
      <c r="H83" s="15" t="str">
        <f>IF(Calculations!$B83&lt;age_when_money_runs_out,Calculations!I83,"")</f>
        <v/>
      </c>
      <c r="I83" s="15" t="str">
        <f>IF(Calculations!$B83&lt;age_when_money_runs_out,Calculations!J83,"")</f>
        <v/>
      </c>
      <c r="J83" s="15" t="str">
        <f>IF(Calculations!$B83&lt;age_when_money_runs_out,Calculations!K83,"")</f>
        <v/>
      </c>
    </row>
    <row r="84" spans="1:10" x14ac:dyDescent="0.2">
      <c r="A84" t="str">
        <f>IF(Calculations!$B84&lt;age_when_money_runs_out,Calculations!B84,"")</f>
        <v/>
      </c>
      <c r="B84" s="15" t="str">
        <f>IF(Calculations!$B84&lt;age_when_money_runs_out,Calculations!C84,"")</f>
        <v/>
      </c>
      <c r="C84" s="15" t="str">
        <f>IF(Calculations!$B84&lt;age_when_money_runs_out,Calculations!D84,"")</f>
        <v/>
      </c>
      <c r="D84" s="15" t="str">
        <f>IF(Calculations!$B84&lt;age_when_money_runs_out,Calculations!E84,"")</f>
        <v/>
      </c>
      <c r="E84" s="15" t="str">
        <f>IF(Calculations!$B84&lt;age_when_money_runs_out,Calculations!F84,"")</f>
        <v/>
      </c>
      <c r="F84" s="15" t="str">
        <f>IF(Calculations!$B84&lt;age_when_money_runs_out,Calculations!G84,"")</f>
        <v/>
      </c>
      <c r="G84" s="15" t="str">
        <f>IF(Calculations!$B84&lt;age_when_money_runs_out,Calculations!H84,"")</f>
        <v/>
      </c>
      <c r="H84" s="15" t="str">
        <f>IF(Calculations!$B84&lt;age_when_money_runs_out,Calculations!I84,"")</f>
        <v/>
      </c>
      <c r="I84" s="15" t="str">
        <f>IF(Calculations!$B84&lt;age_when_money_runs_out,Calculations!J84,"")</f>
        <v/>
      </c>
      <c r="J84" s="15" t="str">
        <f>IF(Calculations!$B84&lt;age_when_money_runs_out,Calculations!K84,"")</f>
        <v/>
      </c>
    </row>
    <row r="85" spans="1:10" x14ac:dyDescent="0.2">
      <c r="A85" t="str">
        <f>IF(Calculations!$B85&lt;age_when_money_runs_out,Calculations!B85,"")</f>
        <v/>
      </c>
      <c r="B85" s="15" t="str">
        <f>IF(Calculations!$B85&lt;age_when_money_runs_out,Calculations!C85,"")</f>
        <v/>
      </c>
      <c r="C85" s="15" t="str">
        <f>IF(Calculations!$B85&lt;age_when_money_runs_out,Calculations!D85,"")</f>
        <v/>
      </c>
      <c r="D85" s="15" t="str">
        <f>IF(Calculations!$B85&lt;age_when_money_runs_out,Calculations!E85,"")</f>
        <v/>
      </c>
      <c r="E85" s="15" t="str">
        <f>IF(Calculations!$B85&lt;age_when_money_runs_out,Calculations!F85,"")</f>
        <v/>
      </c>
      <c r="F85" s="15" t="str">
        <f>IF(Calculations!$B85&lt;age_when_money_runs_out,Calculations!G85,"")</f>
        <v/>
      </c>
      <c r="G85" s="15" t="str">
        <f>IF(Calculations!$B85&lt;age_when_money_runs_out,Calculations!H85,"")</f>
        <v/>
      </c>
      <c r="H85" s="15" t="str">
        <f>IF(Calculations!$B85&lt;age_when_money_runs_out,Calculations!I85,"")</f>
        <v/>
      </c>
      <c r="I85" s="15" t="str">
        <f>IF(Calculations!$B85&lt;age_when_money_runs_out,Calculations!J85,"")</f>
        <v/>
      </c>
      <c r="J85" s="15" t="str">
        <f>IF(Calculations!$B85&lt;age_when_money_runs_out,Calculations!K85,"")</f>
        <v/>
      </c>
    </row>
    <row r="86" spans="1:10" x14ac:dyDescent="0.2">
      <c r="A86" t="str">
        <f>IF(Calculations!$B86&lt;age_when_money_runs_out,Calculations!B86,"")</f>
        <v/>
      </c>
      <c r="B86" s="15" t="str">
        <f>IF(Calculations!$B86&lt;age_when_money_runs_out,Calculations!C86,"")</f>
        <v/>
      </c>
      <c r="C86" s="15" t="str">
        <f>IF(Calculations!$B86&lt;age_when_money_runs_out,Calculations!D86,"")</f>
        <v/>
      </c>
      <c r="D86" s="15" t="str">
        <f>IF(Calculations!$B86&lt;age_when_money_runs_out,Calculations!E86,"")</f>
        <v/>
      </c>
      <c r="E86" s="15" t="str">
        <f>IF(Calculations!$B86&lt;age_when_money_runs_out,Calculations!F86,"")</f>
        <v/>
      </c>
      <c r="F86" s="15" t="str">
        <f>IF(Calculations!$B86&lt;age_when_money_runs_out,Calculations!G86,"")</f>
        <v/>
      </c>
      <c r="G86" s="15" t="str">
        <f>IF(Calculations!$B86&lt;age_when_money_runs_out,Calculations!H86,"")</f>
        <v/>
      </c>
      <c r="H86" s="15" t="str">
        <f>IF(Calculations!$B86&lt;age_when_money_runs_out,Calculations!I86,"")</f>
        <v/>
      </c>
      <c r="I86" s="15" t="str">
        <f>IF(Calculations!$B86&lt;age_when_money_runs_out,Calculations!J86,"")</f>
        <v/>
      </c>
      <c r="J86" s="15" t="str">
        <f>IF(Calculations!$B86&lt;age_when_money_runs_out,Calculations!K86,"")</f>
        <v/>
      </c>
    </row>
    <row r="87" spans="1:10" x14ac:dyDescent="0.2">
      <c r="A87" t="str">
        <f>IF(Calculations!$B87&lt;age_when_money_runs_out,Calculations!B87,"")</f>
        <v/>
      </c>
      <c r="B87" s="15" t="str">
        <f>IF(Calculations!$B87&lt;age_when_money_runs_out,Calculations!C87,"")</f>
        <v/>
      </c>
      <c r="C87" s="15" t="str">
        <f>IF(Calculations!$B87&lt;age_when_money_runs_out,Calculations!D87,"")</f>
        <v/>
      </c>
      <c r="D87" s="15" t="str">
        <f>IF(Calculations!$B87&lt;age_when_money_runs_out,Calculations!E87,"")</f>
        <v/>
      </c>
      <c r="E87" s="15" t="str">
        <f>IF(Calculations!$B87&lt;age_when_money_runs_out,Calculations!F87,"")</f>
        <v/>
      </c>
      <c r="F87" s="15" t="str">
        <f>IF(Calculations!$B87&lt;age_when_money_runs_out,Calculations!G87,"")</f>
        <v/>
      </c>
      <c r="G87" s="15" t="str">
        <f>IF(Calculations!$B87&lt;age_when_money_runs_out,Calculations!H87,"")</f>
        <v/>
      </c>
      <c r="H87" s="15" t="str">
        <f>IF(Calculations!$B87&lt;age_when_money_runs_out,Calculations!I87,"")</f>
        <v/>
      </c>
      <c r="I87" s="15" t="str">
        <f>IF(Calculations!$B87&lt;age_when_money_runs_out,Calculations!J87,"")</f>
        <v/>
      </c>
      <c r="J87" s="15" t="str">
        <f>IF(Calculations!$B87&lt;age_when_money_runs_out,Calculations!K87,"")</f>
        <v/>
      </c>
    </row>
    <row r="88" spans="1:10" x14ac:dyDescent="0.2">
      <c r="A88" t="str">
        <f>IF(Calculations!$B88&lt;age_when_money_runs_out,Calculations!B88,"")</f>
        <v/>
      </c>
      <c r="B88" s="15" t="str">
        <f>IF(Calculations!$B88&lt;age_when_money_runs_out,Calculations!C88,"")</f>
        <v/>
      </c>
      <c r="C88" s="15" t="str">
        <f>IF(Calculations!$B88&lt;age_when_money_runs_out,Calculations!D88,"")</f>
        <v/>
      </c>
      <c r="D88" s="15" t="str">
        <f>IF(Calculations!$B88&lt;age_when_money_runs_out,Calculations!E88,"")</f>
        <v/>
      </c>
      <c r="E88" s="15" t="str">
        <f>IF(Calculations!$B88&lt;age_when_money_runs_out,Calculations!F88,"")</f>
        <v/>
      </c>
      <c r="F88" s="15" t="str">
        <f>IF(Calculations!$B88&lt;age_when_money_runs_out,Calculations!G88,"")</f>
        <v/>
      </c>
      <c r="G88" s="15" t="str">
        <f>IF(Calculations!$B88&lt;age_when_money_runs_out,Calculations!H88,"")</f>
        <v/>
      </c>
      <c r="H88" s="15" t="str">
        <f>IF(Calculations!$B88&lt;age_when_money_runs_out,Calculations!I88,"")</f>
        <v/>
      </c>
      <c r="I88" s="15" t="str">
        <f>IF(Calculations!$B88&lt;age_when_money_runs_out,Calculations!J88,"")</f>
        <v/>
      </c>
      <c r="J88" s="15" t="str">
        <f>IF(Calculations!$B88&lt;age_when_money_runs_out,Calculations!K88,"")</f>
        <v/>
      </c>
    </row>
    <row r="89" spans="1:10" x14ac:dyDescent="0.2">
      <c r="A89" t="str">
        <f>IF(Calculations!$B89&lt;age_when_money_runs_out,Calculations!B89,"")</f>
        <v/>
      </c>
      <c r="B89" s="15" t="str">
        <f>IF(Calculations!$B89&lt;age_when_money_runs_out,Calculations!C89,"")</f>
        <v/>
      </c>
      <c r="C89" s="15" t="str">
        <f>IF(Calculations!$B89&lt;age_when_money_runs_out,Calculations!D89,"")</f>
        <v/>
      </c>
      <c r="D89" s="15" t="str">
        <f>IF(Calculations!$B89&lt;age_when_money_runs_out,Calculations!E89,"")</f>
        <v/>
      </c>
      <c r="E89" s="15" t="str">
        <f>IF(Calculations!$B89&lt;age_when_money_runs_out,Calculations!F89,"")</f>
        <v/>
      </c>
      <c r="F89" s="15" t="str">
        <f>IF(Calculations!$B89&lt;age_when_money_runs_out,Calculations!G89,"")</f>
        <v/>
      </c>
      <c r="G89" s="15" t="str">
        <f>IF(Calculations!$B89&lt;age_when_money_runs_out,Calculations!H89,"")</f>
        <v/>
      </c>
      <c r="H89" s="15" t="str">
        <f>IF(Calculations!$B89&lt;age_when_money_runs_out,Calculations!I89,"")</f>
        <v/>
      </c>
      <c r="I89" s="15" t="str">
        <f>IF(Calculations!$B89&lt;age_when_money_runs_out,Calculations!J89,"")</f>
        <v/>
      </c>
      <c r="J89" s="15" t="str">
        <f>IF(Calculations!$B89&lt;age_when_money_runs_out,Calculations!K89,"")</f>
        <v/>
      </c>
    </row>
    <row r="90" spans="1:10" x14ac:dyDescent="0.2">
      <c r="A90" t="str">
        <f>IF(Calculations!$B90&lt;age_when_money_runs_out,Calculations!B90,"")</f>
        <v/>
      </c>
      <c r="B90" s="15" t="str">
        <f>IF(Calculations!$B90&lt;age_when_money_runs_out,Calculations!C90,"")</f>
        <v/>
      </c>
      <c r="C90" s="15" t="str">
        <f>IF(Calculations!$B90&lt;age_when_money_runs_out,Calculations!D90,"")</f>
        <v/>
      </c>
      <c r="D90" s="15" t="str">
        <f>IF(Calculations!$B90&lt;age_when_money_runs_out,Calculations!E90,"")</f>
        <v/>
      </c>
      <c r="E90" s="15" t="str">
        <f>IF(Calculations!$B90&lt;age_when_money_runs_out,Calculations!F90,"")</f>
        <v/>
      </c>
      <c r="F90" s="15" t="str">
        <f>IF(Calculations!$B90&lt;age_when_money_runs_out,Calculations!G90,"")</f>
        <v/>
      </c>
      <c r="G90" s="15" t="str">
        <f>IF(Calculations!$B90&lt;age_when_money_runs_out,Calculations!H90,"")</f>
        <v/>
      </c>
      <c r="H90" s="15" t="str">
        <f>IF(Calculations!$B90&lt;age_when_money_runs_out,Calculations!I90,"")</f>
        <v/>
      </c>
      <c r="I90" s="15" t="str">
        <f>IF(Calculations!$B90&lt;age_when_money_runs_out,Calculations!J90,"")</f>
        <v/>
      </c>
      <c r="J90" s="15" t="str">
        <f>IF(Calculations!$B90&lt;age_when_money_runs_out,Calculations!K90,"")</f>
        <v/>
      </c>
    </row>
    <row r="91" spans="1:10" x14ac:dyDescent="0.2">
      <c r="A91" t="str">
        <f>IF(Calculations!$B91&lt;age_when_money_runs_out,Calculations!B91,"")</f>
        <v/>
      </c>
      <c r="B91" s="15" t="str">
        <f>IF(Calculations!$B91&lt;age_when_money_runs_out,Calculations!C91,"")</f>
        <v/>
      </c>
      <c r="C91" s="15" t="str">
        <f>IF(Calculations!$B91&lt;age_when_money_runs_out,Calculations!D91,"")</f>
        <v/>
      </c>
      <c r="D91" s="15" t="str">
        <f>IF(Calculations!$B91&lt;age_when_money_runs_out,Calculations!E91,"")</f>
        <v/>
      </c>
      <c r="E91" s="15" t="str">
        <f>IF(Calculations!$B91&lt;age_when_money_runs_out,Calculations!F91,"")</f>
        <v/>
      </c>
      <c r="F91" s="15" t="str">
        <f>IF(Calculations!$B91&lt;age_when_money_runs_out,Calculations!G91,"")</f>
        <v/>
      </c>
      <c r="G91" s="15" t="str">
        <f>IF(Calculations!$B91&lt;age_when_money_runs_out,Calculations!H91,"")</f>
        <v/>
      </c>
      <c r="H91" s="15" t="str">
        <f>IF(Calculations!$B91&lt;age_when_money_runs_out,Calculations!I91,"")</f>
        <v/>
      </c>
      <c r="I91" s="15" t="str">
        <f>IF(Calculations!$B91&lt;age_when_money_runs_out,Calculations!J91,"")</f>
        <v/>
      </c>
      <c r="J91" s="15" t="str">
        <f>IF(Calculations!$B91&lt;age_when_money_runs_out,Calculations!K91,"")</f>
        <v/>
      </c>
    </row>
    <row r="92" spans="1:10" x14ac:dyDescent="0.2">
      <c r="A92" t="str">
        <f>IF(Calculations!$B92&lt;age_when_money_runs_out,Calculations!B92,"")</f>
        <v/>
      </c>
      <c r="B92" s="15" t="str">
        <f>IF(Calculations!$B92&lt;age_when_money_runs_out,Calculations!C92,"")</f>
        <v/>
      </c>
      <c r="C92" s="15" t="str">
        <f>IF(Calculations!$B92&lt;age_when_money_runs_out,Calculations!D92,"")</f>
        <v/>
      </c>
      <c r="D92" s="15" t="str">
        <f>IF(Calculations!$B92&lt;age_when_money_runs_out,Calculations!E92,"")</f>
        <v/>
      </c>
      <c r="E92" s="15" t="str">
        <f>IF(Calculations!$B92&lt;age_when_money_runs_out,Calculations!F92,"")</f>
        <v/>
      </c>
      <c r="F92" s="15" t="str">
        <f>IF(Calculations!$B92&lt;age_when_money_runs_out,Calculations!G92,"")</f>
        <v/>
      </c>
      <c r="G92" s="15" t="str">
        <f>IF(Calculations!$B92&lt;age_when_money_runs_out,Calculations!H92,"")</f>
        <v/>
      </c>
      <c r="H92" s="15" t="str">
        <f>IF(Calculations!$B92&lt;age_when_money_runs_out,Calculations!I92,"")</f>
        <v/>
      </c>
      <c r="I92" s="15" t="str">
        <f>IF(Calculations!$B92&lt;age_when_money_runs_out,Calculations!J92,"")</f>
        <v/>
      </c>
      <c r="J92" s="15" t="str">
        <f>IF(Calculations!$B92&lt;age_when_money_runs_out,Calculations!K92,"")</f>
        <v/>
      </c>
    </row>
    <row r="93" spans="1:10" x14ac:dyDescent="0.2">
      <c r="A93" t="str">
        <f>IF(Calculations!$B93&lt;age_when_money_runs_out,Calculations!B93,"")</f>
        <v/>
      </c>
      <c r="B93" s="15" t="str">
        <f>IF(Calculations!$B93&lt;age_when_money_runs_out,Calculations!C93,"")</f>
        <v/>
      </c>
      <c r="C93" s="15" t="str">
        <f>IF(Calculations!$B93&lt;age_when_money_runs_out,Calculations!D93,"")</f>
        <v/>
      </c>
      <c r="D93" s="15" t="str">
        <f>IF(Calculations!$B93&lt;age_when_money_runs_out,Calculations!E93,"")</f>
        <v/>
      </c>
      <c r="E93" s="15" t="str">
        <f>IF(Calculations!$B93&lt;age_when_money_runs_out,Calculations!F93,"")</f>
        <v/>
      </c>
      <c r="F93" s="15" t="str">
        <f>IF(Calculations!$B93&lt;age_when_money_runs_out,Calculations!G93,"")</f>
        <v/>
      </c>
      <c r="G93" s="15" t="str">
        <f>IF(Calculations!$B93&lt;age_when_money_runs_out,Calculations!H93,"")</f>
        <v/>
      </c>
      <c r="H93" s="15" t="str">
        <f>IF(Calculations!$B93&lt;age_when_money_runs_out,Calculations!I93,"")</f>
        <v/>
      </c>
      <c r="I93" s="15" t="str">
        <f>IF(Calculations!$B93&lt;age_when_money_runs_out,Calculations!J93,"")</f>
        <v/>
      </c>
      <c r="J93" s="15" t="str">
        <f>IF(Calculations!$B93&lt;age_when_money_runs_out,Calculations!K93,"")</f>
        <v/>
      </c>
    </row>
    <row r="94" spans="1:10" x14ac:dyDescent="0.2">
      <c r="A94" t="str">
        <f>IF(Calculations!$B94&lt;age_when_money_runs_out,Calculations!B94,"")</f>
        <v/>
      </c>
      <c r="B94" s="15" t="str">
        <f>IF(Calculations!$B94&lt;age_when_money_runs_out,Calculations!C94,"")</f>
        <v/>
      </c>
      <c r="C94" s="15" t="str">
        <f>IF(Calculations!$B94&lt;age_when_money_runs_out,Calculations!D94,"")</f>
        <v/>
      </c>
      <c r="D94" s="15" t="str">
        <f>IF(Calculations!$B94&lt;age_when_money_runs_out,Calculations!E94,"")</f>
        <v/>
      </c>
      <c r="E94" s="15" t="str">
        <f>IF(Calculations!$B94&lt;age_when_money_runs_out,Calculations!F94,"")</f>
        <v/>
      </c>
      <c r="F94" s="15" t="str">
        <f>IF(Calculations!$B94&lt;age_when_money_runs_out,Calculations!G94,"")</f>
        <v/>
      </c>
      <c r="G94" s="15" t="str">
        <f>IF(Calculations!$B94&lt;age_when_money_runs_out,Calculations!H94,"")</f>
        <v/>
      </c>
      <c r="H94" s="15" t="str">
        <f>IF(Calculations!$B94&lt;age_when_money_runs_out,Calculations!I94,"")</f>
        <v/>
      </c>
      <c r="I94" s="15" t="str">
        <f>IF(Calculations!$B94&lt;age_when_money_runs_out,Calculations!J94,"")</f>
        <v/>
      </c>
      <c r="J94" s="15" t="str">
        <f>IF(Calculations!$B94&lt;age_when_money_runs_out,Calculations!K94,"")</f>
        <v/>
      </c>
    </row>
    <row r="95" spans="1:10" x14ac:dyDescent="0.2">
      <c r="A95" t="str">
        <f>IF(Calculations!$B95&lt;age_when_money_runs_out,Calculations!B95,"")</f>
        <v/>
      </c>
      <c r="B95" s="15" t="str">
        <f>IF(Calculations!$B95&lt;age_when_money_runs_out,Calculations!C95,"")</f>
        <v/>
      </c>
      <c r="C95" s="15" t="str">
        <f>IF(Calculations!$B95&lt;age_when_money_runs_out,Calculations!D95,"")</f>
        <v/>
      </c>
      <c r="D95" s="15" t="str">
        <f>IF(Calculations!$B95&lt;age_when_money_runs_out,Calculations!E95,"")</f>
        <v/>
      </c>
      <c r="E95" s="15" t="str">
        <f>IF(Calculations!$B95&lt;age_when_money_runs_out,Calculations!F95,"")</f>
        <v/>
      </c>
      <c r="F95" s="15" t="str">
        <f>IF(Calculations!$B95&lt;age_when_money_runs_out,Calculations!G95,"")</f>
        <v/>
      </c>
      <c r="G95" s="15" t="str">
        <f>IF(Calculations!$B95&lt;age_when_money_runs_out,Calculations!H95,"")</f>
        <v/>
      </c>
      <c r="H95" s="15" t="str">
        <f>IF(Calculations!$B95&lt;age_when_money_runs_out,Calculations!I95,"")</f>
        <v/>
      </c>
      <c r="I95" s="15" t="str">
        <f>IF(Calculations!$B95&lt;age_when_money_runs_out,Calculations!J95,"")</f>
        <v/>
      </c>
      <c r="J95" s="15" t="str">
        <f>IF(Calculations!$B95&lt;age_when_money_runs_out,Calculations!K95,"")</f>
        <v/>
      </c>
    </row>
    <row r="96" spans="1:10" x14ac:dyDescent="0.2">
      <c r="A96" t="str">
        <f>IF(Calculations!$B96&lt;age_when_money_runs_out,Calculations!B96,"")</f>
        <v/>
      </c>
      <c r="B96" s="15" t="str">
        <f>IF(Calculations!$B96&lt;age_when_money_runs_out,Calculations!C96,"")</f>
        <v/>
      </c>
      <c r="C96" s="15" t="str">
        <f>IF(Calculations!$B96&lt;age_when_money_runs_out,Calculations!D96,"")</f>
        <v/>
      </c>
      <c r="D96" s="15" t="str">
        <f>IF(Calculations!$B96&lt;age_when_money_runs_out,Calculations!E96,"")</f>
        <v/>
      </c>
      <c r="E96" s="15" t="str">
        <f>IF(Calculations!$B96&lt;age_when_money_runs_out,Calculations!F96,"")</f>
        <v/>
      </c>
      <c r="F96" s="15" t="str">
        <f>IF(Calculations!$B96&lt;age_when_money_runs_out,Calculations!G96,"")</f>
        <v/>
      </c>
      <c r="G96" s="15" t="str">
        <f>IF(Calculations!$B96&lt;age_when_money_runs_out,Calculations!H96,"")</f>
        <v/>
      </c>
      <c r="H96" s="15" t="str">
        <f>IF(Calculations!$B96&lt;age_when_money_runs_out,Calculations!I96,"")</f>
        <v/>
      </c>
      <c r="I96" s="15" t="str">
        <f>IF(Calculations!$B96&lt;age_when_money_runs_out,Calculations!J96,"")</f>
        <v/>
      </c>
      <c r="J96" s="15" t="str">
        <f>IF(Calculations!$B96&lt;age_when_money_runs_out,Calculations!K96,"")</f>
        <v/>
      </c>
    </row>
    <row r="97" spans="1:10" x14ac:dyDescent="0.2">
      <c r="A97" t="str">
        <f>IF(Calculations!$B97&lt;age_when_money_runs_out,Calculations!B97,"")</f>
        <v/>
      </c>
      <c r="B97" s="15" t="str">
        <f>IF(Calculations!$B97&lt;age_when_money_runs_out,Calculations!C97,"")</f>
        <v/>
      </c>
      <c r="C97" s="15" t="str">
        <f>IF(Calculations!$B97&lt;age_when_money_runs_out,Calculations!D97,"")</f>
        <v/>
      </c>
      <c r="D97" s="15" t="str">
        <f>IF(Calculations!$B97&lt;age_when_money_runs_out,Calculations!E97,"")</f>
        <v/>
      </c>
      <c r="E97" s="15" t="str">
        <f>IF(Calculations!$B97&lt;age_when_money_runs_out,Calculations!F97,"")</f>
        <v/>
      </c>
      <c r="F97" s="15" t="str">
        <f>IF(Calculations!$B97&lt;age_when_money_runs_out,Calculations!G97,"")</f>
        <v/>
      </c>
      <c r="G97" s="15" t="str">
        <f>IF(Calculations!$B97&lt;age_when_money_runs_out,Calculations!H97,"")</f>
        <v/>
      </c>
      <c r="H97" s="15" t="str">
        <f>IF(Calculations!$B97&lt;age_when_money_runs_out,Calculations!I97,"")</f>
        <v/>
      </c>
      <c r="I97" s="15" t="str">
        <f>IF(Calculations!$B97&lt;age_when_money_runs_out,Calculations!J97,"")</f>
        <v/>
      </c>
      <c r="J97" s="15" t="str">
        <f>IF(Calculations!$B97&lt;age_when_money_runs_out,Calculations!K97,"")</f>
        <v/>
      </c>
    </row>
    <row r="98" spans="1:10" x14ac:dyDescent="0.2">
      <c r="A98" t="str">
        <f>IF(Calculations!$B98&lt;age_when_money_runs_out,Calculations!B98,"")</f>
        <v/>
      </c>
      <c r="B98" s="15" t="str">
        <f>IF(Calculations!$B98&lt;age_when_money_runs_out,Calculations!C98,"")</f>
        <v/>
      </c>
      <c r="C98" s="15" t="str">
        <f>IF(Calculations!$B98&lt;age_when_money_runs_out,Calculations!D98,"")</f>
        <v/>
      </c>
      <c r="D98" s="15" t="str">
        <f>IF(Calculations!$B98&lt;age_when_money_runs_out,Calculations!E98,"")</f>
        <v/>
      </c>
      <c r="E98" s="15" t="str">
        <f>IF(Calculations!$B98&lt;age_when_money_runs_out,Calculations!F98,"")</f>
        <v/>
      </c>
      <c r="F98" s="15" t="str">
        <f>IF(Calculations!$B98&lt;age_when_money_runs_out,Calculations!G98,"")</f>
        <v/>
      </c>
      <c r="G98" s="15" t="str">
        <f>IF(Calculations!$B98&lt;age_when_money_runs_out,Calculations!H98,"")</f>
        <v/>
      </c>
      <c r="H98" s="15" t="str">
        <f>IF(Calculations!$B98&lt;age_when_money_runs_out,Calculations!I98,"")</f>
        <v/>
      </c>
      <c r="I98" s="15" t="str">
        <f>IF(Calculations!$B98&lt;age_when_money_runs_out,Calculations!J98,"")</f>
        <v/>
      </c>
      <c r="J98" s="15" t="str">
        <f>IF(Calculations!$B98&lt;age_when_money_runs_out,Calculations!K98,"")</f>
        <v/>
      </c>
    </row>
    <row r="99" spans="1:10" x14ac:dyDescent="0.2">
      <c r="A99" t="str">
        <f>IF(Calculations!$B99&lt;age_when_money_runs_out,Calculations!B99,"")</f>
        <v/>
      </c>
      <c r="B99" s="15" t="str">
        <f>IF(Calculations!$B99&lt;age_when_money_runs_out,Calculations!C99,"")</f>
        <v/>
      </c>
      <c r="C99" s="15" t="str">
        <f>IF(Calculations!$B99&lt;age_when_money_runs_out,Calculations!D99,"")</f>
        <v/>
      </c>
      <c r="D99" s="15" t="str">
        <f>IF(Calculations!$B99&lt;age_when_money_runs_out,Calculations!E99,"")</f>
        <v/>
      </c>
      <c r="E99" s="15" t="str">
        <f>IF(Calculations!$B99&lt;age_when_money_runs_out,Calculations!F99,"")</f>
        <v/>
      </c>
      <c r="F99" s="15" t="str">
        <f>IF(Calculations!$B99&lt;age_when_money_runs_out,Calculations!G99,"")</f>
        <v/>
      </c>
      <c r="G99" s="15" t="str">
        <f>IF(Calculations!$B99&lt;age_when_money_runs_out,Calculations!H99,"")</f>
        <v/>
      </c>
      <c r="H99" s="15" t="str">
        <f>IF(Calculations!$B99&lt;age_when_money_runs_out,Calculations!I99,"")</f>
        <v/>
      </c>
      <c r="I99" s="15" t="str">
        <f>IF(Calculations!$B99&lt;age_when_money_runs_out,Calculations!J99,"")</f>
        <v/>
      </c>
      <c r="J99" s="15" t="str">
        <f>IF(Calculations!$B99&lt;age_when_money_runs_out,Calculations!K99,"")</f>
        <v/>
      </c>
    </row>
    <row r="100" spans="1:10" x14ac:dyDescent="0.2">
      <c r="A100" t="str">
        <f>IF(Calculations!$B100&lt;age_when_money_runs_out,Calculations!B100,"")</f>
        <v/>
      </c>
      <c r="B100" s="15" t="str">
        <f>IF(Calculations!$B100&lt;age_when_money_runs_out,Calculations!C100,"")</f>
        <v/>
      </c>
      <c r="C100" s="15" t="str">
        <f>IF(Calculations!$B100&lt;age_when_money_runs_out,Calculations!D100,"")</f>
        <v/>
      </c>
      <c r="D100" s="15" t="str">
        <f>IF(Calculations!$B100&lt;age_when_money_runs_out,Calculations!E100,"")</f>
        <v/>
      </c>
      <c r="E100" s="15" t="str">
        <f>IF(Calculations!$B100&lt;age_when_money_runs_out,Calculations!F100,"")</f>
        <v/>
      </c>
      <c r="F100" s="15" t="str">
        <f>IF(Calculations!$B100&lt;age_when_money_runs_out,Calculations!G100,"")</f>
        <v/>
      </c>
      <c r="G100" s="15" t="str">
        <f>IF(Calculations!$B100&lt;age_when_money_runs_out,Calculations!H100,"")</f>
        <v/>
      </c>
      <c r="H100" s="15" t="str">
        <f>IF(Calculations!$B100&lt;age_when_money_runs_out,Calculations!I100,"")</f>
        <v/>
      </c>
      <c r="I100" s="15" t="str">
        <f>IF(Calculations!$B100&lt;age_when_money_runs_out,Calculations!J100,"")</f>
        <v/>
      </c>
      <c r="J100" s="15" t="str">
        <f>IF(Calculations!$B100&lt;age_when_money_runs_out,Calculations!K100,"")</f>
        <v/>
      </c>
    </row>
    <row r="101" spans="1:10" x14ac:dyDescent="0.2">
      <c r="A101" t="str">
        <f>IF(Calculations!$B101&lt;age_when_money_runs_out,Calculations!B101,"")</f>
        <v/>
      </c>
      <c r="B101" s="15" t="str">
        <f>IF(Calculations!$B101&lt;age_when_money_runs_out,Calculations!C101,"")</f>
        <v/>
      </c>
      <c r="C101" s="15" t="str">
        <f>IF(Calculations!$B101&lt;age_when_money_runs_out,Calculations!D101,"")</f>
        <v/>
      </c>
      <c r="D101" s="15" t="str">
        <f>IF(Calculations!$B101&lt;age_when_money_runs_out,Calculations!E101,"")</f>
        <v/>
      </c>
      <c r="E101" s="15" t="str">
        <f>IF(Calculations!$B101&lt;age_when_money_runs_out,Calculations!F101,"")</f>
        <v/>
      </c>
      <c r="F101" s="15" t="str">
        <f>IF(Calculations!$B101&lt;age_when_money_runs_out,Calculations!G101,"")</f>
        <v/>
      </c>
      <c r="G101" s="15" t="str">
        <f>IF(Calculations!$B101&lt;age_when_money_runs_out,Calculations!H101,"")</f>
        <v/>
      </c>
      <c r="H101" s="15" t="str">
        <f>IF(Calculations!$B101&lt;age_when_money_runs_out,Calculations!I101,"")</f>
        <v/>
      </c>
      <c r="I101" s="15" t="str">
        <f>IF(Calculations!$B101&lt;age_when_money_runs_out,Calculations!J101,"")</f>
        <v/>
      </c>
      <c r="J101" s="15" t="str">
        <f>IF(Calculations!$B101&lt;age_when_money_runs_out,Calculations!K101,"")</f>
        <v/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28CB-7E33-4029-B08A-0FFDD1195B76}">
  <dimension ref="A1:K101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8.6640625" bestFit="1" customWidth="1"/>
    <col min="2" max="2" width="3.83203125" bestFit="1" customWidth="1"/>
    <col min="3" max="3" width="14.6640625" style="10" bestFit="1" customWidth="1"/>
    <col min="4" max="4" width="10.33203125" style="10" bestFit="1" customWidth="1"/>
    <col min="5" max="5" width="17.5" style="10" bestFit="1" customWidth="1"/>
    <col min="6" max="6" width="12.5" style="10" bestFit="1" customWidth="1"/>
    <col min="7" max="7" width="22.6640625" style="14" bestFit="1" customWidth="1"/>
    <col min="8" max="8" width="13.83203125" style="14" bestFit="1" customWidth="1"/>
    <col min="9" max="9" width="26.5" style="10" bestFit="1" customWidth="1"/>
    <col min="10" max="10" width="17.6640625" style="14" bestFit="1" customWidth="1"/>
    <col min="11" max="11" width="19" style="14" bestFit="1" customWidth="1"/>
  </cols>
  <sheetData>
    <row r="1" spans="1:11" x14ac:dyDescent="0.2">
      <c r="A1" s="1" t="s">
        <v>2</v>
      </c>
      <c r="B1" s="1" t="s">
        <v>0</v>
      </c>
      <c r="C1" s="9" t="s">
        <v>3</v>
      </c>
      <c r="D1" s="9" t="s">
        <v>9</v>
      </c>
      <c r="E1" s="9" t="s">
        <v>7</v>
      </c>
      <c r="F1" s="9" t="s">
        <v>6</v>
      </c>
      <c r="G1" s="13" t="s">
        <v>23</v>
      </c>
      <c r="H1" s="13" t="s">
        <v>4</v>
      </c>
      <c r="I1" s="9" t="s">
        <v>10</v>
      </c>
      <c r="J1" s="13" t="s">
        <v>5</v>
      </c>
      <c r="K1" s="13" t="s">
        <v>8</v>
      </c>
    </row>
    <row r="2" spans="1:11" x14ac:dyDescent="0.2">
      <c r="A2">
        <v>1</v>
      </c>
      <c r="B2">
        <f>cur_age</f>
        <v>29</v>
      </c>
      <c r="C2" s="10">
        <f>cur_income</f>
        <v>75000</v>
      </c>
      <c r="D2" s="10">
        <f t="shared" ref="D2:D33" si="0">C2*tax_rate</f>
        <v>7500</v>
      </c>
      <c r="E2" s="10">
        <f>cur_expenses</f>
        <v>60000</v>
      </c>
      <c r="F2" s="10">
        <f>C2-(D2+E2)</f>
        <v>7500</v>
      </c>
      <c r="G2" s="14">
        <f>cur_ret_saving</f>
        <v>21000</v>
      </c>
      <c r="H2" s="14">
        <f>G2*pre_inv_return</f>
        <v>1680</v>
      </c>
      <c r="I2" s="10">
        <f>IF(des_rit_age&gt;B2,0,E2)</f>
        <v>0</v>
      </c>
      <c r="J2" s="14">
        <f>G2+(F2+H2)-I2</f>
        <v>30180</v>
      </c>
      <c r="K2" s="14">
        <f>J2-G2</f>
        <v>9180</v>
      </c>
    </row>
    <row r="3" spans="1:11" x14ac:dyDescent="0.2">
      <c r="A3">
        <f>1+A2</f>
        <v>2</v>
      </c>
      <c r="B3">
        <f>1+B2</f>
        <v>30</v>
      </c>
      <c r="C3" s="10">
        <f t="shared" ref="C3:C34" si="1">IF(des_rit_age&gt;B2,C2+(C2*ann_income_increase),0)</f>
        <v>78000</v>
      </c>
      <c r="D3" s="10">
        <f t="shared" si="0"/>
        <v>7800</v>
      </c>
      <c r="E3" s="10">
        <f t="shared" ref="E3:E34" si="2">E2+(E2*ann_inflation)</f>
        <v>61800</v>
      </c>
      <c r="F3" s="10">
        <f t="shared" ref="F3:F34" si="3">IF(des_rit_age&gt;B2,C3-(D3+E3),0)</f>
        <v>8400</v>
      </c>
      <c r="G3" s="14">
        <f>J2</f>
        <v>30180</v>
      </c>
      <c r="H3" s="14">
        <f t="shared" ref="H3:H34" si="4">IF(des_rit_age&gt;B2,G3*pre_inv_return,G3*post_inv_return)</f>
        <v>2414.4</v>
      </c>
      <c r="I3" s="10">
        <f t="shared" ref="I3:I34" si="5">IF(des_rit_age&gt;B2,0,E3)</f>
        <v>0</v>
      </c>
      <c r="J3" s="14">
        <f t="shared" ref="J3:J66" si="6">G3+(F3+H3)-I3</f>
        <v>40994.400000000001</v>
      </c>
      <c r="K3" s="14">
        <f t="shared" ref="K3:K66" si="7">J3-G3</f>
        <v>10814.400000000001</v>
      </c>
    </row>
    <row r="4" spans="1:11" x14ac:dyDescent="0.2">
      <c r="A4">
        <f t="shared" ref="A4:A67" si="8">1+A3</f>
        <v>3</v>
      </c>
      <c r="B4">
        <f t="shared" ref="B4:B67" si="9">1+B3</f>
        <v>31</v>
      </c>
      <c r="C4" s="10">
        <f t="shared" si="1"/>
        <v>81120</v>
      </c>
      <c r="D4" s="10">
        <f t="shared" si="0"/>
        <v>8112</v>
      </c>
      <c r="E4" s="10">
        <f t="shared" si="2"/>
        <v>63654</v>
      </c>
      <c r="F4" s="10">
        <f t="shared" si="3"/>
        <v>9354</v>
      </c>
      <c r="G4" s="14">
        <f t="shared" ref="G4:G67" si="10">J3</f>
        <v>40994.400000000001</v>
      </c>
      <c r="H4" s="14">
        <f t="shared" si="4"/>
        <v>3279.5520000000001</v>
      </c>
      <c r="I4" s="10">
        <f t="shared" si="5"/>
        <v>0</v>
      </c>
      <c r="J4" s="14">
        <f t="shared" si="6"/>
        <v>53627.952000000005</v>
      </c>
      <c r="K4" s="14">
        <f t="shared" si="7"/>
        <v>12633.552000000003</v>
      </c>
    </row>
    <row r="5" spans="1:11" x14ac:dyDescent="0.2">
      <c r="A5">
        <f t="shared" si="8"/>
        <v>4</v>
      </c>
      <c r="B5">
        <f t="shared" si="9"/>
        <v>32</v>
      </c>
      <c r="C5" s="10">
        <f t="shared" si="1"/>
        <v>84364.800000000003</v>
      </c>
      <c r="D5" s="10">
        <f t="shared" si="0"/>
        <v>8436.4800000000014</v>
      </c>
      <c r="E5" s="10">
        <f t="shared" si="2"/>
        <v>65563.62</v>
      </c>
      <c r="F5" s="10">
        <f t="shared" si="3"/>
        <v>10364.700000000012</v>
      </c>
      <c r="G5" s="14">
        <f t="shared" si="10"/>
        <v>53627.952000000005</v>
      </c>
      <c r="H5" s="14">
        <f t="shared" si="4"/>
        <v>4290.2361600000004</v>
      </c>
      <c r="I5" s="10">
        <f t="shared" si="5"/>
        <v>0</v>
      </c>
      <c r="J5" s="14">
        <f t="shared" si="6"/>
        <v>68282.888160000017</v>
      </c>
      <c r="K5" s="14">
        <f t="shared" si="7"/>
        <v>14654.936160000012</v>
      </c>
    </row>
    <row r="6" spans="1:11" x14ac:dyDescent="0.2">
      <c r="A6">
        <f t="shared" si="8"/>
        <v>5</v>
      </c>
      <c r="B6">
        <f t="shared" si="9"/>
        <v>33</v>
      </c>
      <c r="C6" s="10">
        <f t="shared" si="1"/>
        <v>87739.392000000007</v>
      </c>
      <c r="D6" s="10">
        <f t="shared" si="0"/>
        <v>8773.9392000000007</v>
      </c>
      <c r="E6" s="10">
        <f t="shared" si="2"/>
        <v>67530.528599999991</v>
      </c>
      <c r="F6" s="10">
        <f t="shared" si="3"/>
        <v>11434.924200000023</v>
      </c>
      <c r="G6" s="14">
        <f t="shared" si="10"/>
        <v>68282.888160000017</v>
      </c>
      <c r="H6" s="14">
        <f t="shared" si="4"/>
        <v>5462.6310528000013</v>
      </c>
      <c r="I6" s="10">
        <f t="shared" si="5"/>
        <v>0</v>
      </c>
      <c r="J6" s="14">
        <f t="shared" si="6"/>
        <v>85180.443412800043</v>
      </c>
      <c r="K6" s="14">
        <f t="shared" si="7"/>
        <v>16897.555252800026</v>
      </c>
    </row>
    <row r="7" spans="1:11" x14ac:dyDescent="0.2">
      <c r="A7">
        <f t="shared" si="8"/>
        <v>6</v>
      </c>
      <c r="B7">
        <f t="shared" si="9"/>
        <v>34</v>
      </c>
      <c r="C7" s="10">
        <f t="shared" si="1"/>
        <v>91248.967680000002</v>
      </c>
      <c r="D7" s="10">
        <f t="shared" si="0"/>
        <v>9124.8967680000005</v>
      </c>
      <c r="E7" s="10">
        <f t="shared" si="2"/>
        <v>69556.444457999984</v>
      </c>
      <c r="F7" s="10">
        <f t="shared" si="3"/>
        <v>12567.626454000012</v>
      </c>
      <c r="G7" s="14">
        <f t="shared" si="10"/>
        <v>85180.443412800043</v>
      </c>
      <c r="H7" s="14">
        <f t="shared" si="4"/>
        <v>6814.4354730240038</v>
      </c>
      <c r="I7" s="10">
        <f t="shared" si="5"/>
        <v>0</v>
      </c>
      <c r="J7" s="14">
        <f t="shared" si="6"/>
        <v>104562.50533982406</v>
      </c>
      <c r="K7" s="14">
        <f t="shared" si="7"/>
        <v>19382.061927024013</v>
      </c>
    </row>
    <row r="8" spans="1:11" x14ac:dyDescent="0.2">
      <c r="A8">
        <f t="shared" si="8"/>
        <v>7</v>
      </c>
      <c r="B8">
        <f t="shared" si="9"/>
        <v>35</v>
      </c>
      <c r="C8" s="10">
        <f t="shared" si="1"/>
        <v>94898.926387200001</v>
      </c>
      <c r="D8" s="10">
        <f t="shared" si="0"/>
        <v>9489.8926387200008</v>
      </c>
      <c r="E8" s="10">
        <f t="shared" si="2"/>
        <v>71643.13779173998</v>
      </c>
      <c r="F8" s="10">
        <f t="shared" si="3"/>
        <v>13765.895956740016</v>
      </c>
      <c r="G8" s="14">
        <f t="shared" si="10"/>
        <v>104562.50533982406</v>
      </c>
      <c r="H8" s="14">
        <f t="shared" si="4"/>
        <v>8365.0004271859252</v>
      </c>
      <c r="I8" s="10">
        <f t="shared" si="5"/>
        <v>0</v>
      </c>
      <c r="J8" s="14">
        <f t="shared" si="6"/>
        <v>126693.40172374999</v>
      </c>
      <c r="K8" s="14">
        <f t="shared" si="7"/>
        <v>22130.896383925938</v>
      </c>
    </row>
    <row r="9" spans="1:11" x14ac:dyDescent="0.2">
      <c r="A9">
        <f t="shared" si="8"/>
        <v>8</v>
      </c>
      <c r="B9">
        <f t="shared" si="9"/>
        <v>36</v>
      </c>
      <c r="C9" s="10">
        <f t="shared" si="1"/>
        <v>98694.883442688006</v>
      </c>
      <c r="D9" s="10">
        <f t="shared" si="0"/>
        <v>9869.4883442688006</v>
      </c>
      <c r="E9" s="10">
        <f t="shared" si="2"/>
        <v>73792.431925492187</v>
      </c>
      <c r="F9" s="10">
        <f t="shared" si="3"/>
        <v>15032.963172927019</v>
      </c>
      <c r="G9" s="14">
        <f t="shared" si="10"/>
        <v>126693.40172374999</v>
      </c>
      <c r="H9" s="14">
        <f t="shared" si="4"/>
        <v>10135.4721379</v>
      </c>
      <c r="I9" s="10">
        <f t="shared" si="5"/>
        <v>0</v>
      </c>
      <c r="J9" s="14">
        <f t="shared" si="6"/>
        <v>151861.83703457701</v>
      </c>
      <c r="K9" s="14">
        <f t="shared" si="7"/>
        <v>25168.435310827015</v>
      </c>
    </row>
    <row r="10" spans="1:11" x14ac:dyDescent="0.2">
      <c r="A10">
        <f t="shared" si="8"/>
        <v>9</v>
      </c>
      <c r="B10">
        <f t="shared" si="9"/>
        <v>37</v>
      </c>
      <c r="C10" s="10">
        <f t="shared" si="1"/>
        <v>102642.67878039552</v>
      </c>
      <c r="D10" s="10">
        <f t="shared" si="0"/>
        <v>10264.267878039553</v>
      </c>
      <c r="E10" s="10">
        <f t="shared" si="2"/>
        <v>76006.204883256956</v>
      </c>
      <c r="F10" s="10">
        <f t="shared" si="3"/>
        <v>16372.206019099016</v>
      </c>
      <c r="G10" s="14">
        <f t="shared" si="10"/>
        <v>151861.83703457701</v>
      </c>
      <c r="H10" s="14">
        <f t="shared" si="4"/>
        <v>12148.94696276616</v>
      </c>
      <c r="I10" s="10">
        <f t="shared" si="5"/>
        <v>0</v>
      </c>
      <c r="J10" s="14">
        <f t="shared" si="6"/>
        <v>180382.9900164422</v>
      </c>
      <c r="K10" s="14">
        <f t="shared" si="7"/>
        <v>28521.152981865191</v>
      </c>
    </row>
    <row r="11" spans="1:11" x14ac:dyDescent="0.2">
      <c r="A11">
        <f t="shared" si="8"/>
        <v>10</v>
      </c>
      <c r="B11">
        <f t="shared" si="9"/>
        <v>38</v>
      </c>
      <c r="C11" s="10">
        <f t="shared" si="1"/>
        <v>106748.38593161134</v>
      </c>
      <c r="D11" s="10">
        <f t="shared" si="0"/>
        <v>10674.838593161134</v>
      </c>
      <c r="E11" s="10">
        <f t="shared" si="2"/>
        <v>78286.391029754668</v>
      </c>
      <c r="F11" s="10">
        <f t="shared" si="3"/>
        <v>17787.156308695543</v>
      </c>
      <c r="G11" s="14">
        <f t="shared" si="10"/>
        <v>180382.9900164422</v>
      </c>
      <c r="H11" s="14">
        <f t="shared" si="4"/>
        <v>14430.639201315376</v>
      </c>
      <c r="I11" s="10">
        <f t="shared" si="5"/>
        <v>0</v>
      </c>
      <c r="J11" s="14">
        <f t="shared" si="6"/>
        <v>212600.78552645311</v>
      </c>
      <c r="K11" s="14">
        <f t="shared" si="7"/>
        <v>32217.79551001091</v>
      </c>
    </row>
    <row r="12" spans="1:11" x14ac:dyDescent="0.2">
      <c r="A12">
        <f t="shared" si="8"/>
        <v>11</v>
      </c>
      <c r="B12">
        <f t="shared" si="9"/>
        <v>39</v>
      </c>
      <c r="C12" s="10">
        <f t="shared" si="1"/>
        <v>111018.3213688758</v>
      </c>
      <c r="D12" s="10">
        <f t="shared" si="0"/>
        <v>11101.83213688758</v>
      </c>
      <c r="E12" s="10">
        <f t="shared" si="2"/>
        <v>80634.982760647312</v>
      </c>
      <c r="F12" s="10">
        <f t="shared" si="3"/>
        <v>19281.506471340908</v>
      </c>
      <c r="G12" s="14">
        <f t="shared" si="10"/>
        <v>212600.78552645311</v>
      </c>
      <c r="H12" s="14">
        <f t="shared" si="4"/>
        <v>17008.062842116247</v>
      </c>
      <c r="I12" s="10">
        <f t="shared" si="5"/>
        <v>0</v>
      </c>
      <c r="J12" s="14">
        <f t="shared" si="6"/>
        <v>248890.35483991026</v>
      </c>
      <c r="K12" s="14">
        <f t="shared" si="7"/>
        <v>36289.569313457148</v>
      </c>
    </row>
    <row r="13" spans="1:11" x14ac:dyDescent="0.2">
      <c r="A13">
        <f t="shared" si="8"/>
        <v>12</v>
      </c>
      <c r="B13">
        <f t="shared" si="9"/>
        <v>40</v>
      </c>
      <c r="C13" s="10">
        <f t="shared" si="1"/>
        <v>115459.05422363082</v>
      </c>
      <c r="D13" s="10">
        <f t="shared" si="0"/>
        <v>11545.905422363083</v>
      </c>
      <c r="E13" s="10">
        <f t="shared" si="2"/>
        <v>83054.032243466732</v>
      </c>
      <c r="F13" s="10">
        <f t="shared" si="3"/>
        <v>20859.116557801011</v>
      </c>
      <c r="G13" s="14">
        <f t="shared" si="10"/>
        <v>248890.35483991026</v>
      </c>
      <c r="H13" s="14">
        <f t="shared" si="4"/>
        <v>19911.228387192819</v>
      </c>
      <c r="I13" s="10">
        <f t="shared" si="5"/>
        <v>0</v>
      </c>
      <c r="J13" s="14">
        <f t="shared" si="6"/>
        <v>289660.69978490408</v>
      </c>
      <c r="K13" s="14">
        <f t="shared" si="7"/>
        <v>40770.34494499382</v>
      </c>
    </row>
    <row r="14" spans="1:11" x14ac:dyDescent="0.2">
      <c r="A14">
        <f t="shared" si="8"/>
        <v>13</v>
      </c>
      <c r="B14">
        <f t="shared" si="9"/>
        <v>41</v>
      </c>
      <c r="C14" s="10">
        <f t="shared" si="1"/>
        <v>120077.41639257605</v>
      </c>
      <c r="D14" s="10">
        <f t="shared" si="0"/>
        <v>12007.741639257605</v>
      </c>
      <c r="E14" s="10">
        <f t="shared" si="2"/>
        <v>85545.653210770732</v>
      </c>
      <c r="F14" s="10">
        <f t="shared" si="3"/>
        <v>22524.021542547722</v>
      </c>
      <c r="G14" s="14">
        <f t="shared" si="10"/>
        <v>289660.69978490408</v>
      </c>
      <c r="H14" s="14">
        <f t="shared" si="4"/>
        <v>23172.855982792327</v>
      </c>
      <c r="I14" s="10">
        <f t="shared" si="5"/>
        <v>0</v>
      </c>
      <c r="J14" s="14">
        <f t="shared" si="6"/>
        <v>335357.57731024415</v>
      </c>
      <c r="K14" s="14">
        <f t="shared" si="7"/>
        <v>45696.877525340067</v>
      </c>
    </row>
    <row r="15" spans="1:11" x14ac:dyDescent="0.2">
      <c r="A15">
        <f t="shared" si="8"/>
        <v>14</v>
      </c>
      <c r="B15">
        <f t="shared" si="9"/>
        <v>42</v>
      </c>
      <c r="C15" s="10">
        <f t="shared" si="1"/>
        <v>124880.5130482791</v>
      </c>
      <c r="D15" s="10">
        <f t="shared" si="0"/>
        <v>12488.05130482791</v>
      </c>
      <c r="E15" s="10">
        <f t="shared" si="2"/>
        <v>88112.022807093846</v>
      </c>
      <c r="F15" s="10">
        <f t="shared" si="3"/>
        <v>24280.438936357343</v>
      </c>
      <c r="G15" s="14">
        <f t="shared" si="10"/>
        <v>335357.57731024415</v>
      </c>
      <c r="H15" s="14">
        <f t="shared" si="4"/>
        <v>26828.606184819531</v>
      </c>
      <c r="I15" s="10">
        <f t="shared" si="5"/>
        <v>0</v>
      </c>
      <c r="J15" s="14">
        <f t="shared" si="6"/>
        <v>386466.62243142101</v>
      </c>
      <c r="K15" s="14">
        <f t="shared" si="7"/>
        <v>51109.045121176867</v>
      </c>
    </row>
    <row r="16" spans="1:11" x14ac:dyDescent="0.2">
      <c r="A16">
        <f t="shared" si="8"/>
        <v>15</v>
      </c>
      <c r="B16">
        <f t="shared" si="9"/>
        <v>43</v>
      </c>
      <c r="C16" s="10">
        <f t="shared" si="1"/>
        <v>129875.73357021026</v>
      </c>
      <c r="D16" s="10">
        <f t="shared" si="0"/>
        <v>12987.573357021027</v>
      </c>
      <c r="E16" s="10">
        <f t="shared" si="2"/>
        <v>90755.383491306668</v>
      </c>
      <c r="F16" s="10">
        <f t="shared" si="3"/>
        <v>26132.776721882561</v>
      </c>
      <c r="G16" s="14">
        <f t="shared" si="10"/>
        <v>386466.62243142101</v>
      </c>
      <c r="H16" s="14">
        <f t="shared" si="4"/>
        <v>30917.32979451368</v>
      </c>
      <c r="I16" s="10">
        <f t="shared" si="5"/>
        <v>0</v>
      </c>
      <c r="J16" s="14">
        <f t="shared" si="6"/>
        <v>443516.72894781723</v>
      </c>
      <c r="K16" s="14">
        <f t="shared" si="7"/>
        <v>57050.106516396219</v>
      </c>
    </row>
    <row r="17" spans="1:11" x14ac:dyDescent="0.2">
      <c r="A17">
        <f t="shared" si="8"/>
        <v>16</v>
      </c>
      <c r="B17">
        <f t="shared" si="9"/>
        <v>44</v>
      </c>
      <c r="C17" s="10">
        <f t="shared" si="1"/>
        <v>135070.76291301867</v>
      </c>
      <c r="D17" s="10">
        <f t="shared" si="0"/>
        <v>13507.076291301868</v>
      </c>
      <c r="E17" s="10">
        <f t="shared" si="2"/>
        <v>93478.044996045865</v>
      </c>
      <c r="F17" s="10">
        <f t="shared" si="3"/>
        <v>28085.641625670934</v>
      </c>
      <c r="G17" s="14">
        <f t="shared" si="10"/>
        <v>443516.72894781723</v>
      </c>
      <c r="H17" s="14">
        <f t="shared" si="4"/>
        <v>35481.338315825378</v>
      </c>
      <c r="I17" s="10">
        <f t="shared" si="5"/>
        <v>0</v>
      </c>
      <c r="J17" s="14">
        <f t="shared" si="6"/>
        <v>507083.70888931357</v>
      </c>
      <c r="K17" s="14">
        <f t="shared" si="7"/>
        <v>63566.979941496335</v>
      </c>
    </row>
    <row r="18" spans="1:11" x14ac:dyDescent="0.2">
      <c r="A18">
        <f t="shared" si="8"/>
        <v>17</v>
      </c>
      <c r="B18">
        <f t="shared" si="9"/>
        <v>45</v>
      </c>
      <c r="C18" s="10">
        <f t="shared" si="1"/>
        <v>140473.59342953941</v>
      </c>
      <c r="D18" s="10">
        <f t="shared" si="0"/>
        <v>14047.359342953941</v>
      </c>
      <c r="E18" s="10">
        <f t="shared" si="2"/>
        <v>96282.38634592724</v>
      </c>
      <c r="F18" s="10">
        <f t="shared" si="3"/>
        <v>30143.847740658224</v>
      </c>
      <c r="G18" s="14">
        <f t="shared" si="10"/>
        <v>507083.70888931357</v>
      </c>
      <c r="H18" s="14">
        <f t="shared" si="4"/>
        <v>40566.696711145087</v>
      </c>
      <c r="I18" s="10">
        <f t="shared" si="5"/>
        <v>0</v>
      </c>
      <c r="J18" s="14">
        <f t="shared" si="6"/>
        <v>577794.25334111694</v>
      </c>
      <c r="K18" s="14">
        <f t="shared" si="7"/>
        <v>70710.544451803376</v>
      </c>
    </row>
    <row r="19" spans="1:11" x14ac:dyDescent="0.2">
      <c r="A19">
        <f t="shared" si="8"/>
        <v>18</v>
      </c>
      <c r="B19">
        <f t="shared" si="9"/>
        <v>46</v>
      </c>
      <c r="C19" s="10">
        <f t="shared" si="1"/>
        <v>146092.53716672098</v>
      </c>
      <c r="D19" s="10">
        <f t="shared" si="0"/>
        <v>14609.253716672099</v>
      </c>
      <c r="E19" s="10">
        <f t="shared" si="2"/>
        <v>99170.857936305052</v>
      </c>
      <c r="F19" s="10">
        <f t="shared" si="3"/>
        <v>32312.42551374383</v>
      </c>
      <c r="G19" s="14">
        <f t="shared" si="10"/>
        <v>577794.25334111694</v>
      </c>
      <c r="H19" s="14">
        <f t="shared" si="4"/>
        <v>46223.540267289354</v>
      </c>
      <c r="I19" s="10">
        <f t="shared" si="5"/>
        <v>0</v>
      </c>
      <c r="J19" s="14">
        <f t="shared" si="6"/>
        <v>656330.2191221501</v>
      </c>
      <c r="K19" s="14">
        <f t="shared" si="7"/>
        <v>78535.965781033156</v>
      </c>
    </row>
    <row r="20" spans="1:11" x14ac:dyDescent="0.2">
      <c r="A20">
        <f t="shared" si="8"/>
        <v>19</v>
      </c>
      <c r="B20">
        <f t="shared" si="9"/>
        <v>47</v>
      </c>
      <c r="C20" s="10">
        <f t="shared" si="1"/>
        <v>151936.23865338982</v>
      </c>
      <c r="D20" s="10">
        <f t="shared" si="0"/>
        <v>15193.623865338983</v>
      </c>
      <c r="E20" s="10">
        <f t="shared" si="2"/>
        <v>102145.9836743942</v>
      </c>
      <c r="F20" s="10">
        <f t="shared" si="3"/>
        <v>34596.631113656636</v>
      </c>
      <c r="G20" s="14">
        <f t="shared" si="10"/>
        <v>656330.2191221501</v>
      </c>
      <c r="H20" s="14">
        <f t="shared" si="4"/>
        <v>52506.417529772007</v>
      </c>
      <c r="I20" s="10">
        <f t="shared" si="5"/>
        <v>0</v>
      </c>
      <c r="J20" s="14">
        <f t="shared" si="6"/>
        <v>743433.2677655787</v>
      </c>
      <c r="K20" s="14">
        <f t="shared" si="7"/>
        <v>87103.048643428599</v>
      </c>
    </row>
    <row r="21" spans="1:11" x14ac:dyDescent="0.2">
      <c r="A21">
        <f t="shared" si="8"/>
        <v>20</v>
      </c>
      <c r="B21">
        <f t="shared" si="9"/>
        <v>48</v>
      </c>
      <c r="C21" s="10">
        <f t="shared" si="1"/>
        <v>158013.68819952541</v>
      </c>
      <c r="D21" s="10">
        <f t="shared" si="0"/>
        <v>15801.368819952542</v>
      </c>
      <c r="E21" s="10">
        <f t="shared" si="2"/>
        <v>105210.36318462603</v>
      </c>
      <c r="F21" s="10">
        <f t="shared" si="3"/>
        <v>37001.956194946833</v>
      </c>
      <c r="G21" s="14">
        <f t="shared" si="10"/>
        <v>743433.2677655787</v>
      </c>
      <c r="H21" s="14">
        <f t="shared" si="4"/>
        <v>59474.661421246296</v>
      </c>
      <c r="I21" s="10">
        <f t="shared" si="5"/>
        <v>0</v>
      </c>
      <c r="J21" s="14">
        <f t="shared" si="6"/>
        <v>839909.88538177183</v>
      </c>
      <c r="K21" s="14">
        <f t="shared" si="7"/>
        <v>96476.617616193136</v>
      </c>
    </row>
    <row r="22" spans="1:11" x14ac:dyDescent="0.2">
      <c r="A22">
        <f t="shared" si="8"/>
        <v>21</v>
      </c>
      <c r="B22">
        <f t="shared" si="9"/>
        <v>49</v>
      </c>
      <c r="C22" s="10">
        <f t="shared" si="1"/>
        <v>164334.23572750643</v>
      </c>
      <c r="D22" s="10">
        <f t="shared" si="0"/>
        <v>16433.423572750642</v>
      </c>
      <c r="E22" s="10">
        <f t="shared" si="2"/>
        <v>108366.67408016481</v>
      </c>
      <c r="F22" s="10">
        <f t="shared" si="3"/>
        <v>39534.13807459097</v>
      </c>
      <c r="G22" s="14">
        <f t="shared" si="10"/>
        <v>839909.88538177183</v>
      </c>
      <c r="H22" s="14">
        <f t="shared" si="4"/>
        <v>67192.790830541751</v>
      </c>
      <c r="I22" s="10">
        <f t="shared" si="5"/>
        <v>0</v>
      </c>
      <c r="J22" s="14">
        <f t="shared" si="6"/>
        <v>946636.81428690453</v>
      </c>
      <c r="K22" s="14">
        <f t="shared" si="7"/>
        <v>106726.92890513269</v>
      </c>
    </row>
    <row r="23" spans="1:11" x14ac:dyDescent="0.2">
      <c r="A23">
        <f t="shared" si="8"/>
        <v>22</v>
      </c>
      <c r="B23">
        <f t="shared" si="9"/>
        <v>50</v>
      </c>
      <c r="C23" s="10">
        <f t="shared" si="1"/>
        <v>170907.60515660667</v>
      </c>
      <c r="D23" s="10">
        <f t="shared" si="0"/>
        <v>17090.76051566067</v>
      </c>
      <c r="E23" s="10">
        <f t="shared" si="2"/>
        <v>111617.67430256975</v>
      </c>
      <c r="F23" s="10">
        <f t="shared" si="3"/>
        <v>42199.170338376251</v>
      </c>
      <c r="G23" s="14">
        <f t="shared" si="10"/>
        <v>946636.81428690453</v>
      </c>
      <c r="H23" s="14">
        <f t="shared" si="4"/>
        <v>75730.945142952361</v>
      </c>
      <c r="I23" s="10">
        <f t="shared" si="5"/>
        <v>0</v>
      </c>
      <c r="J23" s="14">
        <f t="shared" si="6"/>
        <v>1064566.9297682331</v>
      </c>
      <c r="K23" s="14">
        <f t="shared" si="7"/>
        <v>117930.11548132857</v>
      </c>
    </row>
    <row r="24" spans="1:11" x14ac:dyDescent="0.2">
      <c r="A24">
        <f t="shared" si="8"/>
        <v>23</v>
      </c>
      <c r="B24">
        <f t="shared" si="9"/>
        <v>51</v>
      </c>
      <c r="C24" s="10">
        <f t="shared" si="1"/>
        <v>177743.90936287094</v>
      </c>
      <c r="D24" s="10">
        <f t="shared" si="0"/>
        <v>17774.390936287095</v>
      </c>
      <c r="E24" s="10">
        <f t="shared" si="2"/>
        <v>114966.20453164684</v>
      </c>
      <c r="F24" s="10">
        <f t="shared" si="3"/>
        <v>45003.31389493699</v>
      </c>
      <c r="G24" s="14">
        <f t="shared" si="10"/>
        <v>1064566.9297682331</v>
      </c>
      <c r="H24" s="14">
        <f t="shared" si="4"/>
        <v>85165.354381458645</v>
      </c>
      <c r="I24" s="10">
        <f t="shared" si="5"/>
        <v>0</v>
      </c>
      <c r="J24" s="14">
        <f t="shared" si="6"/>
        <v>1194735.5980446287</v>
      </c>
      <c r="K24" s="14">
        <f t="shared" si="7"/>
        <v>130168.66827639565</v>
      </c>
    </row>
    <row r="25" spans="1:11" x14ac:dyDescent="0.2">
      <c r="A25">
        <f t="shared" si="8"/>
        <v>24</v>
      </c>
      <c r="B25">
        <f t="shared" si="9"/>
        <v>52</v>
      </c>
      <c r="C25" s="10">
        <f t="shared" si="1"/>
        <v>184853.66573738577</v>
      </c>
      <c r="D25" s="10">
        <f t="shared" si="0"/>
        <v>18485.366573738578</v>
      </c>
      <c r="E25" s="10">
        <f t="shared" si="2"/>
        <v>118415.19066759625</v>
      </c>
      <c r="F25" s="10">
        <f t="shared" si="3"/>
        <v>47953.108496050932</v>
      </c>
      <c r="G25" s="14">
        <f t="shared" si="10"/>
        <v>1194735.5980446287</v>
      </c>
      <c r="H25" s="14">
        <f t="shared" si="4"/>
        <v>95578.8478435703</v>
      </c>
      <c r="I25" s="10">
        <f t="shared" si="5"/>
        <v>0</v>
      </c>
      <c r="J25" s="14">
        <f t="shared" si="6"/>
        <v>1338267.55438425</v>
      </c>
      <c r="K25" s="14">
        <f t="shared" si="7"/>
        <v>143531.95633962122</v>
      </c>
    </row>
    <row r="26" spans="1:11" x14ac:dyDescent="0.2">
      <c r="A26">
        <f t="shared" si="8"/>
        <v>25</v>
      </c>
      <c r="B26">
        <f t="shared" si="9"/>
        <v>53</v>
      </c>
      <c r="C26" s="10">
        <f t="shared" si="1"/>
        <v>192247.8123668812</v>
      </c>
      <c r="D26" s="10">
        <f t="shared" si="0"/>
        <v>19224.781236688123</v>
      </c>
      <c r="E26" s="10">
        <f t="shared" si="2"/>
        <v>121967.64638762415</v>
      </c>
      <c r="F26" s="10">
        <f t="shared" si="3"/>
        <v>51055.384742568946</v>
      </c>
      <c r="G26" s="14">
        <f t="shared" si="10"/>
        <v>1338267.55438425</v>
      </c>
      <c r="H26" s="14">
        <f t="shared" si="4"/>
        <v>107061.40435074001</v>
      </c>
      <c r="I26" s="10">
        <f t="shared" si="5"/>
        <v>0</v>
      </c>
      <c r="J26" s="14">
        <f t="shared" si="6"/>
        <v>1496384.3434775588</v>
      </c>
      <c r="K26" s="14">
        <f t="shared" si="7"/>
        <v>158116.78909330885</v>
      </c>
    </row>
    <row r="27" spans="1:11" x14ac:dyDescent="0.2">
      <c r="A27">
        <f t="shared" si="8"/>
        <v>26</v>
      </c>
      <c r="B27">
        <f t="shared" si="9"/>
        <v>54</v>
      </c>
      <c r="C27" s="10">
        <f t="shared" si="1"/>
        <v>199937.72486155646</v>
      </c>
      <c r="D27" s="10">
        <f t="shared" si="0"/>
        <v>19993.772486155649</v>
      </c>
      <c r="E27" s="10">
        <f t="shared" si="2"/>
        <v>125626.67577925287</v>
      </c>
      <c r="F27" s="10">
        <f t="shared" si="3"/>
        <v>54317.276596147945</v>
      </c>
      <c r="G27" s="14">
        <f t="shared" si="10"/>
        <v>1496384.3434775588</v>
      </c>
      <c r="H27" s="14">
        <f t="shared" si="4"/>
        <v>119710.74747820471</v>
      </c>
      <c r="I27" s="10">
        <f t="shared" si="5"/>
        <v>0</v>
      </c>
      <c r="J27" s="14">
        <f t="shared" si="6"/>
        <v>1670412.3675519114</v>
      </c>
      <c r="K27" s="14">
        <f t="shared" si="7"/>
        <v>174028.02407435258</v>
      </c>
    </row>
    <row r="28" spans="1:11" x14ac:dyDescent="0.2">
      <c r="A28">
        <f t="shared" si="8"/>
        <v>27</v>
      </c>
      <c r="B28">
        <f t="shared" si="9"/>
        <v>55</v>
      </c>
      <c r="C28" s="10">
        <f t="shared" si="1"/>
        <v>207935.23385601872</v>
      </c>
      <c r="D28" s="10">
        <f t="shared" si="0"/>
        <v>20793.523385601875</v>
      </c>
      <c r="E28" s="10">
        <f t="shared" si="2"/>
        <v>129395.47605263045</v>
      </c>
      <c r="F28" s="10">
        <f t="shared" si="3"/>
        <v>57746.234417786385</v>
      </c>
      <c r="G28" s="14">
        <f t="shared" si="10"/>
        <v>1670412.3675519114</v>
      </c>
      <c r="H28" s="14">
        <f t="shared" si="4"/>
        <v>133632.9894041529</v>
      </c>
      <c r="I28" s="10">
        <f t="shared" si="5"/>
        <v>0</v>
      </c>
      <c r="J28" s="14">
        <f t="shared" si="6"/>
        <v>1861791.5913738506</v>
      </c>
      <c r="K28" s="14">
        <f t="shared" si="7"/>
        <v>191379.2238219392</v>
      </c>
    </row>
    <row r="29" spans="1:11" x14ac:dyDescent="0.2">
      <c r="A29">
        <f t="shared" si="8"/>
        <v>28</v>
      </c>
      <c r="B29">
        <f t="shared" si="9"/>
        <v>56</v>
      </c>
      <c r="C29" s="10">
        <f t="shared" si="1"/>
        <v>216252.64321025947</v>
      </c>
      <c r="D29" s="10">
        <f t="shared" si="0"/>
        <v>21625.264321025948</v>
      </c>
      <c r="E29" s="10">
        <f t="shared" si="2"/>
        <v>133277.34033420935</v>
      </c>
      <c r="F29" s="10">
        <f t="shared" si="3"/>
        <v>61350.038555024163</v>
      </c>
      <c r="G29" s="14">
        <f t="shared" si="10"/>
        <v>1861791.5913738506</v>
      </c>
      <c r="H29" s="14">
        <f t="shared" si="4"/>
        <v>148943.32730990805</v>
      </c>
      <c r="I29" s="10">
        <f t="shared" si="5"/>
        <v>0</v>
      </c>
      <c r="J29" s="14">
        <f t="shared" si="6"/>
        <v>2072084.9572387829</v>
      </c>
      <c r="K29" s="14">
        <f t="shared" si="7"/>
        <v>210293.3658649323</v>
      </c>
    </row>
    <row r="30" spans="1:11" x14ac:dyDescent="0.2">
      <c r="A30">
        <f t="shared" si="8"/>
        <v>29</v>
      </c>
      <c r="B30">
        <f t="shared" si="9"/>
        <v>57</v>
      </c>
      <c r="C30" s="10">
        <f t="shared" si="1"/>
        <v>224902.74893866986</v>
      </c>
      <c r="D30" s="10">
        <f t="shared" si="0"/>
        <v>22490.274893866987</v>
      </c>
      <c r="E30" s="10">
        <f t="shared" si="2"/>
        <v>137275.66054423564</v>
      </c>
      <c r="F30" s="10">
        <f t="shared" si="3"/>
        <v>65136.813500567223</v>
      </c>
      <c r="G30" s="14">
        <f t="shared" si="10"/>
        <v>2072084.9572387829</v>
      </c>
      <c r="H30" s="14">
        <f t="shared" si="4"/>
        <v>165766.79657910264</v>
      </c>
      <c r="I30" s="10">
        <f t="shared" si="5"/>
        <v>0</v>
      </c>
      <c r="J30" s="14">
        <f t="shared" si="6"/>
        <v>2302988.5673184525</v>
      </c>
      <c r="K30" s="14">
        <f t="shared" si="7"/>
        <v>230903.61007966963</v>
      </c>
    </row>
    <row r="31" spans="1:11" x14ac:dyDescent="0.2">
      <c r="A31">
        <f t="shared" si="8"/>
        <v>30</v>
      </c>
      <c r="B31">
        <f t="shared" si="9"/>
        <v>58</v>
      </c>
      <c r="C31" s="10">
        <f t="shared" si="1"/>
        <v>233898.85889621664</v>
      </c>
      <c r="D31" s="10">
        <f t="shared" si="0"/>
        <v>23389.885889621666</v>
      </c>
      <c r="E31" s="10">
        <f t="shared" si="2"/>
        <v>141393.93036056269</v>
      </c>
      <c r="F31" s="10">
        <f t="shared" si="3"/>
        <v>69115.042646032292</v>
      </c>
      <c r="G31" s="14">
        <f t="shared" si="10"/>
        <v>2302988.5673184525</v>
      </c>
      <c r="H31" s="14">
        <f t="shared" si="4"/>
        <v>184239.08538547621</v>
      </c>
      <c r="I31" s="10">
        <f t="shared" si="5"/>
        <v>0</v>
      </c>
      <c r="J31" s="14">
        <f t="shared" si="6"/>
        <v>2556342.6953499611</v>
      </c>
      <c r="K31" s="14">
        <f t="shared" si="7"/>
        <v>253354.12803150853</v>
      </c>
    </row>
    <row r="32" spans="1:11" x14ac:dyDescent="0.2">
      <c r="A32">
        <f t="shared" si="8"/>
        <v>31</v>
      </c>
      <c r="B32">
        <f t="shared" si="9"/>
        <v>59</v>
      </c>
      <c r="C32" s="10">
        <f t="shared" si="1"/>
        <v>243254.8132520653</v>
      </c>
      <c r="D32" s="10">
        <f t="shared" si="0"/>
        <v>24325.481325206532</v>
      </c>
      <c r="E32" s="10">
        <f t="shared" si="2"/>
        <v>145635.74827137956</v>
      </c>
      <c r="F32" s="10">
        <f t="shared" si="3"/>
        <v>73293.583655479219</v>
      </c>
      <c r="G32" s="14">
        <f t="shared" si="10"/>
        <v>2556342.6953499611</v>
      </c>
      <c r="H32" s="14">
        <f t="shared" si="4"/>
        <v>204507.4156279969</v>
      </c>
      <c r="I32" s="10">
        <f t="shared" si="5"/>
        <v>0</v>
      </c>
      <c r="J32" s="14">
        <f t="shared" si="6"/>
        <v>2834143.6946334373</v>
      </c>
      <c r="K32" s="14">
        <f t="shared" si="7"/>
        <v>277800.99928347627</v>
      </c>
    </row>
    <row r="33" spans="1:11" x14ac:dyDescent="0.2">
      <c r="A33">
        <f t="shared" si="8"/>
        <v>32</v>
      </c>
      <c r="B33">
        <f t="shared" si="9"/>
        <v>60</v>
      </c>
      <c r="C33" s="10">
        <f t="shared" si="1"/>
        <v>252985.00578214793</v>
      </c>
      <c r="D33" s="10">
        <f t="shared" si="0"/>
        <v>25298.500578214793</v>
      </c>
      <c r="E33" s="10">
        <f t="shared" si="2"/>
        <v>150004.82071952094</v>
      </c>
      <c r="F33" s="10">
        <f t="shared" si="3"/>
        <v>77681.684484412195</v>
      </c>
      <c r="G33" s="14">
        <f t="shared" si="10"/>
        <v>2834143.6946334373</v>
      </c>
      <c r="H33" s="14">
        <f t="shared" si="4"/>
        <v>226731.495570675</v>
      </c>
      <c r="I33" s="10">
        <f t="shared" si="5"/>
        <v>0</v>
      </c>
      <c r="J33" s="14">
        <f t="shared" si="6"/>
        <v>3138556.8746885248</v>
      </c>
      <c r="K33" s="14">
        <f t="shared" si="7"/>
        <v>304413.18005508743</v>
      </c>
    </row>
    <row r="34" spans="1:11" x14ac:dyDescent="0.2">
      <c r="A34">
        <f t="shared" si="8"/>
        <v>33</v>
      </c>
      <c r="B34">
        <f t="shared" si="9"/>
        <v>61</v>
      </c>
      <c r="C34" s="10">
        <f t="shared" si="1"/>
        <v>263104.40601343382</v>
      </c>
      <c r="D34" s="10">
        <f t="shared" ref="D34:D65" si="11">C34*tax_rate</f>
        <v>26310.440601343384</v>
      </c>
      <c r="E34" s="10">
        <f t="shared" si="2"/>
        <v>154504.96534110658</v>
      </c>
      <c r="F34" s="10">
        <f t="shared" si="3"/>
        <v>82289.000070983864</v>
      </c>
      <c r="G34" s="14">
        <f t="shared" si="10"/>
        <v>3138556.8746885248</v>
      </c>
      <c r="H34" s="14">
        <f t="shared" si="4"/>
        <v>251084.54997508199</v>
      </c>
      <c r="I34" s="10">
        <f t="shared" si="5"/>
        <v>0</v>
      </c>
      <c r="J34" s="14">
        <f t="shared" si="6"/>
        <v>3471930.4247345906</v>
      </c>
      <c r="K34" s="14">
        <f t="shared" si="7"/>
        <v>333373.55004606582</v>
      </c>
    </row>
    <row r="35" spans="1:11" x14ac:dyDescent="0.2">
      <c r="A35">
        <f t="shared" si="8"/>
        <v>34</v>
      </c>
      <c r="B35">
        <f t="shared" si="9"/>
        <v>62</v>
      </c>
      <c r="C35" s="10">
        <f t="shared" ref="C35:C66" si="12">IF(des_rit_age&gt;B34,C34+(C34*ann_income_increase),0)</f>
        <v>0</v>
      </c>
      <c r="D35" s="10">
        <f t="shared" si="11"/>
        <v>0</v>
      </c>
      <c r="E35" s="10">
        <f t="shared" ref="E35:E66" si="13">E34+(E34*ann_inflation)</f>
        <v>159140.11430133978</v>
      </c>
      <c r="F35" s="10">
        <f t="shared" ref="F35:F66" si="14">IF(des_rit_age&gt;B34,C35-(D35+E35),0)</f>
        <v>0</v>
      </c>
      <c r="G35" s="14">
        <f t="shared" si="10"/>
        <v>3471930.4247345906</v>
      </c>
      <c r="H35" s="14">
        <f t="shared" ref="H35:H66" si="15">IF(des_rit_age&gt;B34,G35*pre_inv_return,G35*post_inv_return)</f>
        <v>138877.21698938363</v>
      </c>
      <c r="I35" s="10">
        <f t="shared" ref="I35:I66" si="16">IF(des_rit_age&gt;B34,0,E35)</f>
        <v>159140.11430133978</v>
      </c>
      <c r="J35" s="14">
        <f t="shared" si="6"/>
        <v>3451667.5274226344</v>
      </c>
      <c r="K35" s="14">
        <f t="shared" si="7"/>
        <v>-20262.897311956156</v>
      </c>
    </row>
    <row r="36" spans="1:11" x14ac:dyDescent="0.2">
      <c r="A36">
        <f t="shared" si="8"/>
        <v>35</v>
      </c>
      <c r="B36">
        <f t="shared" si="9"/>
        <v>63</v>
      </c>
      <c r="C36" s="10">
        <f t="shared" si="12"/>
        <v>0</v>
      </c>
      <c r="D36" s="10">
        <f t="shared" si="11"/>
        <v>0</v>
      </c>
      <c r="E36" s="10">
        <f t="shared" si="13"/>
        <v>163914.31773037999</v>
      </c>
      <c r="F36" s="10">
        <f t="shared" si="14"/>
        <v>0</v>
      </c>
      <c r="G36" s="14">
        <f t="shared" si="10"/>
        <v>3451667.5274226344</v>
      </c>
      <c r="H36" s="14">
        <f t="shared" si="15"/>
        <v>138066.70109690537</v>
      </c>
      <c r="I36" s="10">
        <f t="shared" si="16"/>
        <v>163914.31773037999</v>
      </c>
      <c r="J36" s="14">
        <f t="shared" si="6"/>
        <v>3425819.9107891601</v>
      </c>
      <c r="K36" s="14">
        <f t="shared" si="7"/>
        <v>-25847.616633474361</v>
      </c>
    </row>
    <row r="37" spans="1:11" x14ac:dyDescent="0.2">
      <c r="A37">
        <f t="shared" si="8"/>
        <v>36</v>
      </c>
      <c r="B37">
        <f t="shared" si="9"/>
        <v>64</v>
      </c>
      <c r="C37" s="10">
        <f t="shared" si="12"/>
        <v>0</v>
      </c>
      <c r="D37" s="10">
        <f t="shared" si="11"/>
        <v>0</v>
      </c>
      <c r="E37" s="10">
        <f t="shared" si="13"/>
        <v>168831.74726229138</v>
      </c>
      <c r="F37" s="10">
        <f t="shared" si="14"/>
        <v>0</v>
      </c>
      <c r="G37" s="14">
        <f t="shared" si="10"/>
        <v>3425819.9107891601</v>
      </c>
      <c r="H37" s="14">
        <f t="shared" si="15"/>
        <v>137032.79643156641</v>
      </c>
      <c r="I37" s="10">
        <f t="shared" si="16"/>
        <v>168831.74726229138</v>
      </c>
      <c r="J37" s="14">
        <f t="shared" si="6"/>
        <v>3394020.959958435</v>
      </c>
      <c r="K37" s="14">
        <f t="shared" si="7"/>
        <v>-31798.950830725022</v>
      </c>
    </row>
    <row r="38" spans="1:11" x14ac:dyDescent="0.2">
      <c r="A38">
        <f t="shared" si="8"/>
        <v>37</v>
      </c>
      <c r="B38">
        <f t="shared" si="9"/>
        <v>65</v>
      </c>
      <c r="C38" s="10">
        <f t="shared" si="12"/>
        <v>0</v>
      </c>
      <c r="D38" s="10">
        <f t="shared" si="11"/>
        <v>0</v>
      </c>
      <c r="E38" s="10">
        <f t="shared" si="13"/>
        <v>173896.69968016012</v>
      </c>
      <c r="F38" s="10">
        <f t="shared" si="14"/>
        <v>0</v>
      </c>
      <c r="G38" s="14">
        <f t="shared" si="10"/>
        <v>3394020.959958435</v>
      </c>
      <c r="H38" s="14">
        <f t="shared" si="15"/>
        <v>135760.83839833739</v>
      </c>
      <c r="I38" s="10">
        <f t="shared" si="16"/>
        <v>173896.69968016012</v>
      </c>
      <c r="J38" s="14">
        <f t="shared" si="6"/>
        <v>3355885.0986766121</v>
      </c>
      <c r="K38" s="14">
        <f t="shared" si="7"/>
        <v>-38135.861281822901</v>
      </c>
    </row>
    <row r="39" spans="1:11" x14ac:dyDescent="0.2">
      <c r="A39">
        <f t="shared" si="8"/>
        <v>38</v>
      </c>
      <c r="B39">
        <f t="shared" si="9"/>
        <v>66</v>
      </c>
      <c r="C39" s="10">
        <f t="shared" si="12"/>
        <v>0</v>
      </c>
      <c r="D39" s="10">
        <f t="shared" si="11"/>
        <v>0</v>
      </c>
      <c r="E39" s="10">
        <f t="shared" si="13"/>
        <v>179113.60067056492</v>
      </c>
      <c r="F39" s="10">
        <f t="shared" si="14"/>
        <v>0</v>
      </c>
      <c r="G39" s="14">
        <f t="shared" si="10"/>
        <v>3355885.0986766121</v>
      </c>
      <c r="H39" s="14">
        <f t="shared" si="15"/>
        <v>134235.40394706448</v>
      </c>
      <c r="I39" s="10">
        <f t="shared" si="16"/>
        <v>179113.60067056492</v>
      </c>
      <c r="J39" s="14">
        <f t="shared" si="6"/>
        <v>3311006.9019531119</v>
      </c>
      <c r="K39" s="14">
        <f t="shared" si="7"/>
        <v>-44878.196723500267</v>
      </c>
    </row>
    <row r="40" spans="1:11" x14ac:dyDescent="0.2">
      <c r="A40">
        <f t="shared" si="8"/>
        <v>39</v>
      </c>
      <c r="B40">
        <f t="shared" si="9"/>
        <v>67</v>
      </c>
      <c r="C40" s="10">
        <f t="shared" si="12"/>
        <v>0</v>
      </c>
      <c r="D40" s="10">
        <f t="shared" si="11"/>
        <v>0</v>
      </c>
      <c r="E40" s="10">
        <f t="shared" si="13"/>
        <v>184487.00869068186</v>
      </c>
      <c r="F40" s="10">
        <f t="shared" si="14"/>
        <v>0</v>
      </c>
      <c r="G40" s="14">
        <f t="shared" si="10"/>
        <v>3311006.9019531119</v>
      </c>
      <c r="H40" s="14">
        <f t="shared" si="15"/>
        <v>132440.27607812447</v>
      </c>
      <c r="I40" s="10">
        <f t="shared" si="16"/>
        <v>184487.00869068186</v>
      </c>
      <c r="J40" s="14">
        <f t="shared" si="6"/>
        <v>3258960.1693405546</v>
      </c>
      <c r="K40" s="14">
        <f t="shared" si="7"/>
        <v>-52046.732612557244</v>
      </c>
    </row>
    <row r="41" spans="1:11" x14ac:dyDescent="0.2">
      <c r="A41">
        <f t="shared" si="8"/>
        <v>40</v>
      </c>
      <c r="B41">
        <f t="shared" si="9"/>
        <v>68</v>
      </c>
      <c r="C41" s="10">
        <f t="shared" si="12"/>
        <v>0</v>
      </c>
      <c r="D41" s="10">
        <f t="shared" si="11"/>
        <v>0</v>
      </c>
      <c r="E41" s="10">
        <f t="shared" si="13"/>
        <v>190021.61895140231</v>
      </c>
      <c r="F41" s="10">
        <f t="shared" si="14"/>
        <v>0</v>
      </c>
      <c r="G41" s="14">
        <f t="shared" si="10"/>
        <v>3258960.1693405546</v>
      </c>
      <c r="H41" s="14">
        <f t="shared" si="15"/>
        <v>130358.40677362219</v>
      </c>
      <c r="I41" s="10">
        <f t="shared" si="16"/>
        <v>190021.61895140231</v>
      </c>
      <c r="J41" s="14">
        <f t="shared" si="6"/>
        <v>3199296.9571627746</v>
      </c>
      <c r="K41" s="14">
        <f t="shared" si="7"/>
        <v>-59663.212177779991</v>
      </c>
    </row>
    <row r="42" spans="1:11" x14ac:dyDescent="0.2">
      <c r="A42">
        <f t="shared" si="8"/>
        <v>41</v>
      </c>
      <c r="B42">
        <f t="shared" si="9"/>
        <v>69</v>
      </c>
      <c r="C42" s="10">
        <f t="shared" si="12"/>
        <v>0</v>
      </c>
      <c r="D42" s="10">
        <f t="shared" si="11"/>
        <v>0</v>
      </c>
      <c r="E42" s="10">
        <f t="shared" si="13"/>
        <v>195722.26751994438</v>
      </c>
      <c r="F42" s="10">
        <f t="shared" si="14"/>
        <v>0</v>
      </c>
      <c r="G42" s="14">
        <f t="shared" si="10"/>
        <v>3199296.9571627746</v>
      </c>
      <c r="H42" s="14">
        <f t="shared" si="15"/>
        <v>127971.87828651098</v>
      </c>
      <c r="I42" s="10">
        <f t="shared" si="16"/>
        <v>195722.26751994438</v>
      </c>
      <c r="J42" s="14">
        <f t="shared" si="6"/>
        <v>3131546.5679293415</v>
      </c>
      <c r="K42" s="14">
        <f t="shared" si="7"/>
        <v>-67750.389233433176</v>
      </c>
    </row>
    <row r="43" spans="1:11" x14ac:dyDescent="0.2">
      <c r="A43">
        <f t="shared" si="8"/>
        <v>42</v>
      </c>
      <c r="B43">
        <f t="shared" si="9"/>
        <v>70</v>
      </c>
      <c r="C43" s="10">
        <f t="shared" si="12"/>
        <v>0</v>
      </c>
      <c r="D43" s="10">
        <f t="shared" si="11"/>
        <v>0</v>
      </c>
      <c r="E43" s="10">
        <f t="shared" si="13"/>
        <v>201593.93554554271</v>
      </c>
      <c r="F43" s="10">
        <f t="shared" si="14"/>
        <v>0</v>
      </c>
      <c r="G43" s="14">
        <f t="shared" si="10"/>
        <v>3131546.5679293415</v>
      </c>
      <c r="H43" s="14">
        <f t="shared" si="15"/>
        <v>125261.86271717366</v>
      </c>
      <c r="I43" s="10">
        <f t="shared" si="16"/>
        <v>201593.93554554271</v>
      </c>
      <c r="J43" s="14">
        <f t="shared" si="6"/>
        <v>3055214.4951009722</v>
      </c>
      <c r="K43" s="14">
        <f t="shared" si="7"/>
        <v>-76332.072828369215</v>
      </c>
    </row>
    <row r="44" spans="1:11" x14ac:dyDescent="0.2">
      <c r="A44">
        <f t="shared" si="8"/>
        <v>43</v>
      </c>
      <c r="B44">
        <f t="shared" si="9"/>
        <v>71</v>
      </c>
      <c r="C44" s="10">
        <f t="shared" si="12"/>
        <v>0</v>
      </c>
      <c r="D44" s="10">
        <f t="shared" si="11"/>
        <v>0</v>
      </c>
      <c r="E44" s="10">
        <f t="shared" si="13"/>
        <v>207641.75361190899</v>
      </c>
      <c r="F44" s="10">
        <f t="shared" si="14"/>
        <v>0</v>
      </c>
      <c r="G44" s="14">
        <f t="shared" si="10"/>
        <v>3055214.4951009722</v>
      </c>
      <c r="H44" s="14">
        <f t="shared" si="15"/>
        <v>122208.57980403889</v>
      </c>
      <c r="I44" s="10">
        <f t="shared" si="16"/>
        <v>207641.75361190899</v>
      </c>
      <c r="J44" s="14">
        <f t="shared" si="6"/>
        <v>2969781.3212931026</v>
      </c>
      <c r="K44" s="14">
        <f t="shared" si="7"/>
        <v>-85433.173807869665</v>
      </c>
    </row>
    <row r="45" spans="1:11" x14ac:dyDescent="0.2">
      <c r="A45">
        <f t="shared" si="8"/>
        <v>44</v>
      </c>
      <c r="B45">
        <f t="shared" si="9"/>
        <v>72</v>
      </c>
      <c r="C45" s="10">
        <f t="shared" si="12"/>
        <v>0</v>
      </c>
      <c r="D45" s="10">
        <f t="shared" si="11"/>
        <v>0</v>
      </c>
      <c r="E45" s="10">
        <f t="shared" si="13"/>
        <v>213871.00622026625</v>
      </c>
      <c r="F45" s="10">
        <f t="shared" si="14"/>
        <v>0</v>
      </c>
      <c r="G45" s="14">
        <f t="shared" si="10"/>
        <v>2969781.3212931026</v>
      </c>
      <c r="H45" s="14">
        <f t="shared" si="15"/>
        <v>118791.2528517241</v>
      </c>
      <c r="I45" s="10">
        <f t="shared" si="16"/>
        <v>213871.00622026625</v>
      </c>
      <c r="J45" s="14">
        <f t="shared" si="6"/>
        <v>2874701.5679245605</v>
      </c>
      <c r="K45" s="14">
        <f t="shared" si="7"/>
        <v>-95079.753368542064</v>
      </c>
    </row>
    <row r="46" spans="1:11" x14ac:dyDescent="0.2">
      <c r="A46">
        <f t="shared" si="8"/>
        <v>45</v>
      </c>
      <c r="B46">
        <f t="shared" si="9"/>
        <v>73</v>
      </c>
      <c r="C46" s="10">
        <f t="shared" si="12"/>
        <v>0</v>
      </c>
      <c r="D46" s="10">
        <f t="shared" si="11"/>
        <v>0</v>
      </c>
      <c r="E46" s="10">
        <f t="shared" si="13"/>
        <v>220287.13640687423</v>
      </c>
      <c r="F46" s="10">
        <f t="shared" si="14"/>
        <v>0</v>
      </c>
      <c r="G46" s="14">
        <f t="shared" si="10"/>
        <v>2874701.5679245605</v>
      </c>
      <c r="H46" s="14">
        <f t="shared" si="15"/>
        <v>114988.06271698243</v>
      </c>
      <c r="I46" s="10">
        <f t="shared" si="16"/>
        <v>220287.13640687423</v>
      </c>
      <c r="J46" s="14">
        <f t="shared" si="6"/>
        <v>2769402.4942346686</v>
      </c>
      <c r="K46" s="14">
        <f t="shared" si="7"/>
        <v>-105299.07368989196</v>
      </c>
    </row>
    <row r="47" spans="1:11" x14ac:dyDescent="0.2">
      <c r="A47">
        <f t="shared" si="8"/>
        <v>46</v>
      </c>
      <c r="B47">
        <f t="shared" si="9"/>
        <v>74</v>
      </c>
      <c r="C47" s="10">
        <f t="shared" si="12"/>
        <v>0</v>
      </c>
      <c r="D47" s="10">
        <f t="shared" si="11"/>
        <v>0</v>
      </c>
      <c r="E47" s="10">
        <f t="shared" si="13"/>
        <v>226895.75049908046</v>
      </c>
      <c r="F47" s="10">
        <f t="shared" si="14"/>
        <v>0</v>
      </c>
      <c r="G47" s="14">
        <f t="shared" si="10"/>
        <v>2769402.4942346686</v>
      </c>
      <c r="H47" s="14">
        <f t="shared" si="15"/>
        <v>110776.09976938674</v>
      </c>
      <c r="I47" s="10">
        <f t="shared" si="16"/>
        <v>226895.75049908046</v>
      </c>
      <c r="J47" s="14">
        <f t="shared" si="6"/>
        <v>2653282.8435049751</v>
      </c>
      <c r="K47" s="14">
        <f t="shared" si="7"/>
        <v>-116119.65072969347</v>
      </c>
    </row>
    <row r="48" spans="1:11" x14ac:dyDescent="0.2">
      <c r="A48">
        <f t="shared" si="8"/>
        <v>47</v>
      </c>
      <c r="B48">
        <f t="shared" si="9"/>
        <v>75</v>
      </c>
      <c r="C48" s="10">
        <f t="shared" si="12"/>
        <v>0</v>
      </c>
      <c r="D48" s="10">
        <f t="shared" si="11"/>
        <v>0</v>
      </c>
      <c r="E48" s="10">
        <f t="shared" si="13"/>
        <v>233702.62301405286</v>
      </c>
      <c r="F48" s="10">
        <f t="shared" si="14"/>
        <v>0</v>
      </c>
      <c r="G48" s="14">
        <f t="shared" si="10"/>
        <v>2653282.8435049751</v>
      </c>
      <c r="H48" s="14">
        <f t="shared" si="15"/>
        <v>106131.31374019901</v>
      </c>
      <c r="I48" s="10">
        <f t="shared" si="16"/>
        <v>233702.62301405286</v>
      </c>
      <c r="J48" s="14">
        <f t="shared" si="6"/>
        <v>2525711.5342311212</v>
      </c>
      <c r="K48" s="14">
        <f t="shared" si="7"/>
        <v>-127571.3092738539</v>
      </c>
    </row>
    <row r="49" spans="1:11" x14ac:dyDescent="0.2">
      <c r="A49">
        <f t="shared" si="8"/>
        <v>48</v>
      </c>
      <c r="B49">
        <f t="shared" si="9"/>
        <v>76</v>
      </c>
      <c r="C49" s="10">
        <f t="shared" si="12"/>
        <v>0</v>
      </c>
      <c r="D49" s="10">
        <f t="shared" si="11"/>
        <v>0</v>
      </c>
      <c r="E49" s="10">
        <f t="shared" si="13"/>
        <v>240713.70170447446</v>
      </c>
      <c r="F49" s="10">
        <f t="shared" si="14"/>
        <v>0</v>
      </c>
      <c r="G49" s="14">
        <f t="shared" si="10"/>
        <v>2525711.5342311212</v>
      </c>
      <c r="H49" s="14">
        <f t="shared" si="15"/>
        <v>101028.46136924485</v>
      </c>
      <c r="I49" s="10">
        <f t="shared" si="16"/>
        <v>240713.70170447446</v>
      </c>
      <c r="J49" s="14">
        <f t="shared" si="6"/>
        <v>2386026.2938958914</v>
      </c>
      <c r="K49" s="14">
        <f t="shared" si="7"/>
        <v>-139685.24033522978</v>
      </c>
    </row>
    <row r="50" spans="1:11" x14ac:dyDescent="0.2">
      <c r="A50">
        <f t="shared" si="8"/>
        <v>49</v>
      </c>
      <c r="B50">
        <f t="shared" si="9"/>
        <v>77</v>
      </c>
      <c r="C50" s="10">
        <f t="shared" si="12"/>
        <v>0</v>
      </c>
      <c r="D50" s="10">
        <f t="shared" si="11"/>
        <v>0</v>
      </c>
      <c r="E50" s="10">
        <f t="shared" si="13"/>
        <v>247935.11275560869</v>
      </c>
      <c r="F50" s="10">
        <f t="shared" si="14"/>
        <v>0</v>
      </c>
      <c r="G50" s="14">
        <f t="shared" si="10"/>
        <v>2386026.2938958914</v>
      </c>
      <c r="H50" s="14">
        <f t="shared" si="15"/>
        <v>95441.051755835651</v>
      </c>
      <c r="I50" s="10">
        <f t="shared" si="16"/>
        <v>247935.11275560869</v>
      </c>
      <c r="J50" s="14">
        <f t="shared" si="6"/>
        <v>2233532.2328961184</v>
      </c>
      <c r="K50" s="14">
        <f t="shared" si="7"/>
        <v>-152494.06099977298</v>
      </c>
    </row>
    <row r="51" spans="1:11" x14ac:dyDescent="0.2">
      <c r="A51">
        <f t="shared" si="8"/>
        <v>50</v>
      </c>
      <c r="B51">
        <f t="shared" si="9"/>
        <v>78</v>
      </c>
      <c r="C51" s="10">
        <f t="shared" si="12"/>
        <v>0</v>
      </c>
      <c r="D51" s="10">
        <f t="shared" si="11"/>
        <v>0</v>
      </c>
      <c r="E51" s="10">
        <f t="shared" si="13"/>
        <v>255373.16613827695</v>
      </c>
      <c r="F51" s="10">
        <f t="shared" si="14"/>
        <v>0</v>
      </c>
      <c r="G51" s="14">
        <f t="shared" si="10"/>
        <v>2233532.2328961184</v>
      </c>
      <c r="H51" s="14">
        <f t="shared" si="15"/>
        <v>89341.28931584474</v>
      </c>
      <c r="I51" s="10">
        <f t="shared" si="16"/>
        <v>255373.16613827695</v>
      </c>
      <c r="J51" s="14">
        <f t="shared" si="6"/>
        <v>2067500.3560736864</v>
      </c>
      <c r="K51" s="14">
        <f t="shared" si="7"/>
        <v>-166031.87682243204</v>
      </c>
    </row>
    <row r="52" spans="1:11" x14ac:dyDescent="0.2">
      <c r="A52">
        <f t="shared" si="8"/>
        <v>51</v>
      </c>
      <c r="B52">
        <f t="shared" si="9"/>
        <v>79</v>
      </c>
      <c r="C52" s="10">
        <f t="shared" si="12"/>
        <v>0</v>
      </c>
      <c r="D52" s="10">
        <f t="shared" si="11"/>
        <v>0</v>
      </c>
      <c r="E52" s="10">
        <f t="shared" si="13"/>
        <v>263034.36112242524</v>
      </c>
      <c r="F52" s="10">
        <f t="shared" si="14"/>
        <v>0</v>
      </c>
      <c r="G52" s="14">
        <f t="shared" si="10"/>
        <v>2067500.3560736864</v>
      </c>
      <c r="H52" s="14">
        <f t="shared" si="15"/>
        <v>82700.014242947451</v>
      </c>
      <c r="I52" s="10">
        <f t="shared" si="16"/>
        <v>263034.36112242524</v>
      </c>
      <c r="J52" s="14">
        <f t="shared" si="6"/>
        <v>1887166.0091942088</v>
      </c>
      <c r="K52" s="14">
        <f t="shared" si="7"/>
        <v>-180334.34687947761</v>
      </c>
    </row>
    <row r="53" spans="1:11" x14ac:dyDescent="0.2">
      <c r="A53">
        <f t="shared" si="8"/>
        <v>52</v>
      </c>
      <c r="B53">
        <f t="shared" si="9"/>
        <v>80</v>
      </c>
      <c r="C53" s="10">
        <f t="shared" si="12"/>
        <v>0</v>
      </c>
      <c r="D53" s="10">
        <f t="shared" si="11"/>
        <v>0</v>
      </c>
      <c r="E53" s="10">
        <f t="shared" si="13"/>
        <v>270925.39195609797</v>
      </c>
      <c r="F53" s="10">
        <f t="shared" si="14"/>
        <v>0</v>
      </c>
      <c r="G53" s="14">
        <f t="shared" si="10"/>
        <v>1887166.0091942088</v>
      </c>
      <c r="H53" s="14">
        <f t="shared" si="15"/>
        <v>75486.640367768356</v>
      </c>
      <c r="I53" s="10">
        <f t="shared" si="16"/>
        <v>270925.39195609797</v>
      </c>
      <c r="J53" s="14">
        <f t="shared" si="6"/>
        <v>1691727.2576058791</v>
      </c>
      <c r="K53" s="14">
        <f t="shared" si="7"/>
        <v>-195438.75158832967</v>
      </c>
    </row>
    <row r="54" spans="1:11" x14ac:dyDescent="0.2">
      <c r="A54">
        <f t="shared" si="8"/>
        <v>53</v>
      </c>
      <c r="B54">
        <f t="shared" si="9"/>
        <v>81</v>
      </c>
      <c r="C54" s="10">
        <f t="shared" si="12"/>
        <v>0</v>
      </c>
      <c r="D54" s="10">
        <f t="shared" si="11"/>
        <v>0</v>
      </c>
      <c r="E54" s="10">
        <f t="shared" si="13"/>
        <v>279053.15371478093</v>
      </c>
      <c r="F54" s="10">
        <f t="shared" si="14"/>
        <v>0</v>
      </c>
      <c r="G54" s="14">
        <f t="shared" si="10"/>
        <v>1691727.2576058791</v>
      </c>
      <c r="H54" s="14">
        <f t="shared" si="15"/>
        <v>67669.090304235171</v>
      </c>
      <c r="I54" s="10">
        <f t="shared" si="16"/>
        <v>279053.15371478093</v>
      </c>
      <c r="J54" s="14">
        <f t="shared" si="6"/>
        <v>1480343.1941953334</v>
      </c>
      <c r="K54" s="14">
        <f t="shared" si="7"/>
        <v>-211384.0634105457</v>
      </c>
    </row>
    <row r="55" spans="1:11" x14ac:dyDescent="0.2">
      <c r="A55">
        <f t="shared" si="8"/>
        <v>54</v>
      </c>
      <c r="B55">
        <f t="shared" si="9"/>
        <v>82</v>
      </c>
      <c r="C55" s="10">
        <f t="shared" si="12"/>
        <v>0</v>
      </c>
      <c r="D55" s="10">
        <f t="shared" si="11"/>
        <v>0</v>
      </c>
      <c r="E55" s="10">
        <f t="shared" si="13"/>
        <v>287424.74832622433</v>
      </c>
      <c r="F55" s="10">
        <f t="shared" si="14"/>
        <v>0</v>
      </c>
      <c r="G55" s="14">
        <f t="shared" si="10"/>
        <v>1480343.1941953334</v>
      </c>
      <c r="H55" s="14">
        <f t="shared" si="15"/>
        <v>59213.72776781334</v>
      </c>
      <c r="I55" s="10">
        <f t="shared" si="16"/>
        <v>287424.74832622433</v>
      </c>
      <c r="J55" s="14">
        <f t="shared" si="6"/>
        <v>1252132.1736369224</v>
      </c>
      <c r="K55" s="14">
        <f t="shared" si="7"/>
        <v>-228211.02055841102</v>
      </c>
    </row>
    <row r="56" spans="1:11" x14ac:dyDescent="0.2">
      <c r="A56">
        <f t="shared" si="8"/>
        <v>55</v>
      </c>
      <c r="B56">
        <f t="shared" si="9"/>
        <v>83</v>
      </c>
      <c r="C56" s="10">
        <f t="shared" si="12"/>
        <v>0</v>
      </c>
      <c r="D56" s="10">
        <f t="shared" si="11"/>
        <v>0</v>
      </c>
      <c r="E56" s="10">
        <f t="shared" si="13"/>
        <v>296047.49077601108</v>
      </c>
      <c r="F56" s="10">
        <f t="shared" si="14"/>
        <v>0</v>
      </c>
      <c r="G56" s="14">
        <f t="shared" si="10"/>
        <v>1252132.1736369224</v>
      </c>
      <c r="H56" s="14">
        <f t="shared" si="15"/>
        <v>50085.286945476895</v>
      </c>
      <c r="I56" s="10">
        <f t="shared" si="16"/>
        <v>296047.49077601108</v>
      </c>
      <c r="J56" s="14">
        <f t="shared" si="6"/>
        <v>1006169.9698063883</v>
      </c>
      <c r="K56" s="14">
        <f t="shared" si="7"/>
        <v>-245962.20383053413</v>
      </c>
    </row>
    <row r="57" spans="1:11" x14ac:dyDescent="0.2">
      <c r="A57">
        <f t="shared" si="8"/>
        <v>56</v>
      </c>
      <c r="B57">
        <f t="shared" si="9"/>
        <v>84</v>
      </c>
      <c r="C57" s="10">
        <f t="shared" si="12"/>
        <v>0</v>
      </c>
      <c r="D57" s="10">
        <f t="shared" si="11"/>
        <v>0</v>
      </c>
      <c r="E57" s="10">
        <f t="shared" si="13"/>
        <v>304928.91549929138</v>
      </c>
      <c r="F57" s="10">
        <f t="shared" si="14"/>
        <v>0</v>
      </c>
      <c r="G57" s="14">
        <f t="shared" si="10"/>
        <v>1006169.9698063883</v>
      </c>
      <c r="H57" s="14">
        <f t="shared" si="15"/>
        <v>40246.798792255533</v>
      </c>
      <c r="I57" s="10">
        <f t="shared" si="16"/>
        <v>304928.91549929138</v>
      </c>
      <c r="J57" s="14">
        <f t="shared" si="6"/>
        <v>741487.85309935245</v>
      </c>
      <c r="K57" s="14">
        <f t="shared" si="7"/>
        <v>-264682.11670703581</v>
      </c>
    </row>
    <row r="58" spans="1:11" x14ac:dyDescent="0.2">
      <c r="A58">
        <f t="shared" si="8"/>
        <v>57</v>
      </c>
      <c r="B58">
        <f t="shared" si="9"/>
        <v>85</v>
      </c>
      <c r="C58" s="10">
        <f t="shared" si="12"/>
        <v>0</v>
      </c>
      <c r="D58" s="10">
        <f t="shared" si="11"/>
        <v>0</v>
      </c>
      <c r="E58" s="10">
        <f t="shared" si="13"/>
        <v>314076.7829642701</v>
      </c>
      <c r="F58" s="10">
        <f t="shared" si="14"/>
        <v>0</v>
      </c>
      <c r="G58" s="14">
        <f t="shared" si="10"/>
        <v>741487.85309935245</v>
      </c>
      <c r="H58" s="14">
        <f t="shared" si="15"/>
        <v>29659.514123974099</v>
      </c>
      <c r="I58" s="10">
        <f t="shared" si="16"/>
        <v>314076.7829642701</v>
      </c>
      <c r="J58" s="14">
        <f t="shared" si="6"/>
        <v>457070.58425905649</v>
      </c>
      <c r="K58" s="14">
        <f t="shared" si="7"/>
        <v>-284417.26884029596</v>
      </c>
    </row>
    <row r="59" spans="1:11" x14ac:dyDescent="0.2">
      <c r="A59">
        <f t="shared" si="8"/>
        <v>58</v>
      </c>
      <c r="B59">
        <f t="shared" si="9"/>
        <v>86</v>
      </c>
      <c r="C59" s="10">
        <f t="shared" si="12"/>
        <v>0</v>
      </c>
      <c r="D59" s="10">
        <f t="shared" si="11"/>
        <v>0</v>
      </c>
      <c r="E59" s="10">
        <f t="shared" si="13"/>
        <v>323499.08645319822</v>
      </c>
      <c r="F59" s="10">
        <f t="shared" si="14"/>
        <v>0</v>
      </c>
      <c r="G59" s="14">
        <f t="shared" si="10"/>
        <v>457070.58425905649</v>
      </c>
      <c r="H59" s="14">
        <f t="shared" si="15"/>
        <v>18282.823370362261</v>
      </c>
      <c r="I59" s="10">
        <f t="shared" si="16"/>
        <v>323499.08645319822</v>
      </c>
      <c r="J59" s="14">
        <f t="shared" si="6"/>
        <v>151854.32117622055</v>
      </c>
      <c r="K59" s="14">
        <f t="shared" si="7"/>
        <v>-305216.26308283594</v>
      </c>
    </row>
    <row r="60" spans="1:11" x14ac:dyDescent="0.2">
      <c r="A60">
        <f t="shared" si="8"/>
        <v>59</v>
      </c>
      <c r="B60">
        <f t="shared" si="9"/>
        <v>87</v>
      </c>
      <c r="C60" s="10">
        <f t="shared" si="12"/>
        <v>0</v>
      </c>
      <c r="D60" s="10">
        <f t="shared" si="11"/>
        <v>0</v>
      </c>
      <c r="E60" s="10">
        <f t="shared" si="13"/>
        <v>333204.05904679419</v>
      </c>
      <c r="F60" s="10">
        <f t="shared" si="14"/>
        <v>0</v>
      </c>
      <c r="G60" s="14">
        <f t="shared" si="10"/>
        <v>151854.32117622055</v>
      </c>
      <c r="H60" s="14">
        <f t="shared" si="15"/>
        <v>6074.1728470488224</v>
      </c>
      <c r="I60" s="10">
        <f t="shared" si="16"/>
        <v>333204.05904679419</v>
      </c>
      <c r="J60" s="14">
        <f t="shared" si="6"/>
        <v>-175275.56502352483</v>
      </c>
      <c r="K60" s="14">
        <f t="shared" si="7"/>
        <v>-327129.88619974535</v>
      </c>
    </row>
    <row r="61" spans="1:11" x14ac:dyDescent="0.2">
      <c r="A61">
        <f t="shared" si="8"/>
        <v>60</v>
      </c>
      <c r="B61">
        <f t="shared" si="9"/>
        <v>88</v>
      </c>
      <c r="C61" s="10">
        <f t="shared" si="12"/>
        <v>0</v>
      </c>
      <c r="D61" s="10">
        <f t="shared" si="11"/>
        <v>0</v>
      </c>
      <c r="E61" s="10">
        <f t="shared" si="13"/>
        <v>343200.18081819802</v>
      </c>
      <c r="F61" s="10">
        <f t="shared" si="14"/>
        <v>0</v>
      </c>
      <c r="G61" s="14">
        <f t="shared" si="10"/>
        <v>-175275.56502352483</v>
      </c>
      <c r="H61" s="14">
        <f t="shared" si="15"/>
        <v>-7011.0226009409935</v>
      </c>
      <c r="I61" s="10">
        <f t="shared" si="16"/>
        <v>343200.18081819802</v>
      </c>
      <c r="J61" s="14">
        <f t="shared" si="6"/>
        <v>-525486.76844266383</v>
      </c>
      <c r="K61" s="14">
        <f t="shared" si="7"/>
        <v>-350211.20341913903</v>
      </c>
    </row>
    <row r="62" spans="1:11" x14ac:dyDescent="0.2">
      <c r="A62">
        <f t="shared" si="8"/>
        <v>61</v>
      </c>
      <c r="B62">
        <f t="shared" si="9"/>
        <v>89</v>
      </c>
      <c r="C62" s="10">
        <f t="shared" si="12"/>
        <v>0</v>
      </c>
      <c r="D62" s="10">
        <f t="shared" si="11"/>
        <v>0</v>
      </c>
      <c r="E62" s="10">
        <f t="shared" si="13"/>
        <v>353496.18624274398</v>
      </c>
      <c r="F62" s="10">
        <f t="shared" si="14"/>
        <v>0</v>
      </c>
      <c r="G62" s="14">
        <f t="shared" si="10"/>
        <v>-525486.76844266383</v>
      </c>
      <c r="H62" s="14">
        <f t="shared" si="15"/>
        <v>-21019.470737706553</v>
      </c>
      <c r="I62" s="10">
        <f t="shared" si="16"/>
        <v>353496.18624274398</v>
      </c>
      <c r="J62" s="14">
        <f t="shared" si="6"/>
        <v>-900002.42542311433</v>
      </c>
      <c r="K62" s="14">
        <f t="shared" si="7"/>
        <v>-374515.6569804505</v>
      </c>
    </row>
    <row r="63" spans="1:11" x14ac:dyDescent="0.2">
      <c r="A63">
        <f t="shared" si="8"/>
        <v>62</v>
      </c>
      <c r="B63">
        <f t="shared" si="9"/>
        <v>90</v>
      </c>
      <c r="C63" s="10">
        <f t="shared" si="12"/>
        <v>0</v>
      </c>
      <c r="D63" s="10">
        <f t="shared" si="11"/>
        <v>0</v>
      </c>
      <c r="E63" s="10">
        <f t="shared" si="13"/>
        <v>364101.07183002628</v>
      </c>
      <c r="F63" s="10">
        <f t="shared" si="14"/>
        <v>0</v>
      </c>
      <c r="G63" s="14">
        <f t="shared" si="10"/>
        <v>-900002.42542311433</v>
      </c>
      <c r="H63" s="14">
        <f t="shared" si="15"/>
        <v>-36000.097016924577</v>
      </c>
      <c r="I63" s="10">
        <f t="shared" si="16"/>
        <v>364101.07183002628</v>
      </c>
      <c r="J63" s="14">
        <f t="shared" si="6"/>
        <v>-1300103.5942700652</v>
      </c>
      <c r="K63" s="14">
        <f t="shared" si="7"/>
        <v>-400101.16884695087</v>
      </c>
    </row>
    <row r="64" spans="1:11" x14ac:dyDescent="0.2">
      <c r="A64">
        <f t="shared" si="8"/>
        <v>63</v>
      </c>
      <c r="B64">
        <f t="shared" si="9"/>
        <v>91</v>
      </c>
      <c r="C64" s="10">
        <f t="shared" si="12"/>
        <v>0</v>
      </c>
      <c r="D64" s="10">
        <f t="shared" si="11"/>
        <v>0</v>
      </c>
      <c r="E64" s="10">
        <f t="shared" si="13"/>
        <v>375024.10398492706</v>
      </c>
      <c r="F64" s="10">
        <f t="shared" si="14"/>
        <v>0</v>
      </c>
      <c r="G64" s="14">
        <f t="shared" si="10"/>
        <v>-1300103.5942700652</v>
      </c>
      <c r="H64" s="14">
        <f t="shared" si="15"/>
        <v>-52004.143770802606</v>
      </c>
      <c r="I64" s="10">
        <f t="shared" si="16"/>
        <v>375024.10398492706</v>
      </c>
      <c r="J64" s="14">
        <f t="shared" si="6"/>
        <v>-1727131.8420257948</v>
      </c>
      <c r="K64" s="14">
        <f t="shared" si="7"/>
        <v>-427028.24775572959</v>
      </c>
    </row>
    <row r="65" spans="1:11" x14ac:dyDescent="0.2">
      <c r="A65">
        <f t="shared" si="8"/>
        <v>64</v>
      </c>
      <c r="B65">
        <f t="shared" si="9"/>
        <v>92</v>
      </c>
      <c r="C65" s="10">
        <f t="shared" si="12"/>
        <v>0</v>
      </c>
      <c r="D65" s="10">
        <f t="shared" si="11"/>
        <v>0</v>
      </c>
      <c r="E65" s="10">
        <f t="shared" si="13"/>
        <v>386274.82710447488</v>
      </c>
      <c r="F65" s="10">
        <f t="shared" si="14"/>
        <v>0</v>
      </c>
      <c r="G65" s="14">
        <f t="shared" si="10"/>
        <v>-1727131.8420257948</v>
      </c>
      <c r="H65" s="14">
        <f t="shared" si="15"/>
        <v>-69085.273681031787</v>
      </c>
      <c r="I65" s="10">
        <f t="shared" si="16"/>
        <v>386274.82710447488</v>
      </c>
      <c r="J65" s="14">
        <f t="shared" si="6"/>
        <v>-2182491.9428113014</v>
      </c>
      <c r="K65" s="14">
        <f t="shared" si="7"/>
        <v>-455360.10078550666</v>
      </c>
    </row>
    <row r="66" spans="1:11" x14ac:dyDescent="0.2">
      <c r="A66">
        <f t="shared" si="8"/>
        <v>65</v>
      </c>
      <c r="B66">
        <f t="shared" si="9"/>
        <v>93</v>
      </c>
      <c r="C66" s="10">
        <f t="shared" si="12"/>
        <v>0</v>
      </c>
      <c r="D66" s="10">
        <f t="shared" ref="D66:D97" si="17">C66*tax_rate</f>
        <v>0</v>
      </c>
      <c r="E66" s="10">
        <f t="shared" si="13"/>
        <v>397863.07191760914</v>
      </c>
      <c r="F66" s="10">
        <f t="shared" si="14"/>
        <v>0</v>
      </c>
      <c r="G66" s="14">
        <f t="shared" si="10"/>
        <v>-2182491.9428113014</v>
      </c>
      <c r="H66" s="14">
        <f t="shared" si="15"/>
        <v>-87299.677712452059</v>
      </c>
      <c r="I66" s="10">
        <f t="shared" si="16"/>
        <v>397863.07191760914</v>
      </c>
      <c r="J66" s="14">
        <f t="shared" si="6"/>
        <v>-2667654.6924413629</v>
      </c>
      <c r="K66" s="14">
        <f t="shared" si="7"/>
        <v>-485162.74963006144</v>
      </c>
    </row>
    <row r="67" spans="1:11" x14ac:dyDescent="0.2">
      <c r="A67">
        <f t="shared" si="8"/>
        <v>66</v>
      </c>
      <c r="B67">
        <f t="shared" si="9"/>
        <v>94</v>
      </c>
      <c r="C67" s="10">
        <f t="shared" ref="C67:C101" si="18">IF(des_rit_age&gt;B66,C66+(C66*ann_income_increase),0)</f>
        <v>0</v>
      </c>
      <c r="D67" s="10">
        <f t="shared" si="17"/>
        <v>0</v>
      </c>
      <c r="E67" s="10">
        <f t="shared" ref="E67:E101" si="19">E66+(E66*ann_inflation)</f>
        <v>409798.9640751374</v>
      </c>
      <c r="F67" s="10">
        <f t="shared" ref="F67:F98" si="20">IF(des_rit_age&gt;B66,C67-(D67+E67),0)</f>
        <v>0</v>
      </c>
      <c r="G67" s="14">
        <f t="shared" si="10"/>
        <v>-2667654.6924413629</v>
      </c>
      <c r="H67" s="14">
        <f t="shared" ref="H67:H98" si="21">IF(des_rit_age&gt;B66,G67*pre_inv_return,G67*post_inv_return)</f>
        <v>-106706.18769765452</v>
      </c>
      <c r="I67" s="10">
        <f t="shared" ref="I67:I101" si="22">IF(des_rit_age&gt;B66,0,E67)</f>
        <v>409798.9640751374</v>
      </c>
      <c r="J67" s="14">
        <f t="shared" ref="J67:J101" si="23">G67+(F67+H67)-I67</f>
        <v>-3184159.8442141549</v>
      </c>
      <c r="K67" s="14">
        <f t="shared" ref="K67:K101" si="24">J67-G67</f>
        <v>-516505.15177279199</v>
      </c>
    </row>
    <row r="68" spans="1:11" x14ac:dyDescent="0.2">
      <c r="A68">
        <f t="shared" ref="A68:A101" si="25">1+A67</f>
        <v>67</v>
      </c>
      <c r="B68">
        <f t="shared" ref="B68:B101" si="26">1+B67</f>
        <v>95</v>
      </c>
      <c r="C68" s="10">
        <f t="shared" si="18"/>
        <v>0</v>
      </c>
      <c r="D68" s="10">
        <f t="shared" si="17"/>
        <v>0</v>
      </c>
      <c r="E68" s="10">
        <f t="shared" si="19"/>
        <v>422092.9329973915</v>
      </c>
      <c r="F68" s="10">
        <f t="shared" si="20"/>
        <v>0</v>
      </c>
      <c r="G68" s="14">
        <f t="shared" ref="G68:G101" si="27">J67</f>
        <v>-3184159.8442141549</v>
      </c>
      <c r="H68" s="14">
        <f t="shared" si="21"/>
        <v>-127366.39376856619</v>
      </c>
      <c r="I68" s="10">
        <f t="shared" si="22"/>
        <v>422092.9329973915</v>
      </c>
      <c r="J68" s="14">
        <f t="shared" si="23"/>
        <v>-3733619.1709801126</v>
      </c>
      <c r="K68" s="14">
        <f t="shared" si="24"/>
        <v>-549459.32676595775</v>
      </c>
    </row>
    <row r="69" spans="1:11" x14ac:dyDescent="0.2">
      <c r="A69">
        <f t="shared" si="25"/>
        <v>68</v>
      </c>
      <c r="B69">
        <f t="shared" si="26"/>
        <v>96</v>
      </c>
      <c r="C69" s="10">
        <f t="shared" si="18"/>
        <v>0</v>
      </c>
      <c r="D69" s="10">
        <f t="shared" si="17"/>
        <v>0</v>
      </c>
      <c r="E69" s="10">
        <f t="shared" si="19"/>
        <v>434755.72098731325</v>
      </c>
      <c r="F69" s="10">
        <f t="shared" si="20"/>
        <v>0</v>
      </c>
      <c r="G69" s="14">
        <f t="shared" si="27"/>
        <v>-3733619.1709801126</v>
      </c>
      <c r="H69" s="14">
        <f t="shared" si="21"/>
        <v>-149344.7668392045</v>
      </c>
      <c r="I69" s="10">
        <f t="shared" si="22"/>
        <v>434755.72098731325</v>
      </c>
      <c r="J69" s="14">
        <f t="shared" si="23"/>
        <v>-4317719.6588066304</v>
      </c>
      <c r="K69" s="14">
        <f t="shared" si="24"/>
        <v>-584100.48782651778</v>
      </c>
    </row>
    <row r="70" spans="1:11" x14ac:dyDescent="0.2">
      <c r="A70">
        <f t="shared" si="25"/>
        <v>69</v>
      </c>
      <c r="B70">
        <f t="shared" si="26"/>
        <v>97</v>
      </c>
      <c r="C70" s="10">
        <f t="shared" si="18"/>
        <v>0</v>
      </c>
      <c r="D70" s="10">
        <f t="shared" si="17"/>
        <v>0</v>
      </c>
      <c r="E70" s="10">
        <f t="shared" si="19"/>
        <v>447798.39261693263</v>
      </c>
      <c r="F70" s="10">
        <f t="shared" si="20"/>
        <v>0</v>
      </c>
      <c r="G70" s="14">
        <f t="shared" si="27"/>
        <v>-4317719.6588066304</v>
      </c>
      <c r="H70" s="14">
        <f t="shared" si="21"/>
        <v>-172708.78635226522</v>
      </c>
      <c r="I70" s="10">
        <f t="shared" si="22"/>
        <v>447798.39261693263</v>
      </c>
      <c r="J70" s="14">
        <f t="shared" si="23"/>
        <v>-4938226.8377758283</v>
      </c>
      <c r="K70" s="14">
        <f t="shared" si="24"/>
        <v>-620507.17896919791</v>
      </c>
    </row>
    <row r="71" spans="1:11" x14ac:dyDescent="0.2">
      <c r="A71">
        <f t="shared" si="25"/>
        <v>70</v>
      </c>
      <c r="B71">
        <f t="shared" si="26"/>
        <v>98</v>
      </c>
      <c r="C71" s="10">
        <f t="shared" si="18"/>
        <v>0</v>
      </c>
      <c r="D71" s="10">
        <f t="shared" si="17"/>
        <v>0</v>
      </c>
      <c r="E71" s="10">
        <f t="shared" si="19"/>
        <v>461232.3443954406</v>
      </c>
      <c r="F71" s="10">
        <f t="shared" si="20"/>
        <v>0</v>
      </c>
      <c r="G71" s="14">
        <f t="shared" si="27"/>
        <v>-4938226.8377758283</v>
      </c>
      <c r="H71" s="14">
        <f t="shared" si="21"/>
        <v>-197529.07351103314</v>
      </c>
      <c r="I71" s="10">
        <f t="shared" si="22"/>
        <v>461232.3443954406</v>
      </c>
      <c r="J71" s="14">
        <f t="shared" si="23"/>
        <v>-5596988.2556823026</v>
      </c>
      <c r="K71" s="14">
        <f t="shared" si="24"/>
        <v>-658761.41790647432</v>
      </c>
    </row>
    <row r="72" spans="1:11" x14ac:dyDescent="0.2">
      <c r="A72">
        <f t="shared" si="25"/>
        <v>71</v>
      </c>
      <c r="B72">
        <f t="shared" si="26"/>
        <v>99</v>
      </c>
      <c r="C72" s="10">
        <f t="shared" si="18"/>
        <v>0</v>
      </c>
      <c r="D72" s="10">
        <f t="shared" si="17"/>
        <v>0</v>
      </c>
      <c r="E72" s="10">
        <f t="shared" si="19"/>
        <v>475069.3147273038</v>
      </c>
      <c r="F72" s="10">
        <f t="shared" si="20"/>
        <v>0</v>
      </c>
      <c r="G72" s="14">
        <f t="shared" si="27"/>
        <v>-5596988.2556823026</v>
      </c>
      <c r="H72" s="14">
        <f t="shared" si="21"/>
        <v>-223879.5302272921</v>
      </c>
      <c r="I72" s="10">
        <f t="shared" si="22"/>
        <v>475069.3147273038</v>
      </c>
      <c r="J72" s="14">
        <f t="shared" si="23"/>
        <v>-6295937.1006368985</v>
      </c>
      <c r="K72" s="14">
        <f t="shared" si="24"/>
        <v>-698948.8449545959</v>
      </c>
    </row>
    <row r="73" spans="1:11" x14ac:dyDescent="0.2">
      <c r="A73">
        <f t="shared" si="25"/>
        <v>72</v>
      </c>
      <c r="B73">
        <f t="shared" si="26"/>
        <v>100</v>
      </c>
      <c r="C73" s="10">
        <f t="shared" si="18"/>
        <v>0</v>
      </c>
      <c r="D73" s="10">
        <f t="shared" si="17"/>
        <v>0</v>
      </c>
      <c r="E73" s="10">
        <f t="shared" si="19"/>
        <v>489321.39416912291</v>
      </c>
      <c r="F73" s="10">
        <f t="shared" si="20"/>
        <v>0</v>
      </c>
      <c r="G73" s="14">
        <f t="shared" si="27"/>
        <v>-6295937.1006368985</v>
      </c>
      <c r="H73" s="14">
        <f t="shared" si="21"/>
        <v>-251837.48402547595</v>
      </c>
      <c r="I73" s="10">
        <f t="shared" si="22"/>
        <v>489321.39416912291</v>
      </c>
      <c r="J73" s="14">
        <f t="shared" si="23"/>
        <v>-7037095.978831497</v>
      </c>
      <c r="K73" s="14">
        <f t="shared" si="24"/>
        <v>-741158.87819459848</v>
      </c>
    </row>
    <row r="74" spans="1:11" x14ac:dyDescent="0.2">
      <c r="A74">
        <f t="shared" si="25"/>
        <v>73</v>
      </c>
      <c r="B74">
        <f t="shared" si="26"/>
        <v>101</v>
      </c>
      <c r="C74" s="10">
        <f t="shared" si="18"/>
        <v>0</v>
      </c>
      <c r="D74" s="10">
        <f t="shared" si="17"/>
        <v>0</v>
      </c>
      <c r="E74" s="10">
        <f t="shared" si="19"/>
        <v>504001.0359941966</v>
      </c>
      <c r="F74" s="10">
        <f t="shared" si="20"/>
        <v>0</v>
      </c>
      <c r="G74" s="14">
        <f t="shared" si="27"/>
        <v>-7037095.978831497</v>
      </c>
      <c r="H74" s="14">
        <f t="shared" si="21"/>
        <v>-281483.83915325988</v>
      </c>
      <c r="I74" s="10">
        <f t="shared" si="22"/>
        <v>504001.0359941966</v>
      </c>
      <c r="J74" s="14">
        <f t="shared" si="23"/>
        <v>-7822580.8539789533</v>
      </c>
      <c r="K74" s="14">
        <f t="shared" si="24"/>
        <v>-785484.8751474563</v>
      </c>
    </row>
    <row r="75" spans="1:11" x14ac:dyDescent="0.2">
      <c r="A75">
        <f t="shared" si="25"/>
        <v>74</v>
      </c>
      <c r="B75">
        <f t="shared" si="26"/>
        <v>102</v>
      </c>
      <c r="C75" s="10">
        <f t="shared" si="18"/>
        <v>0</v>
      </c>
      <c r="D75" s="10">
        <f t="shared" si="17"/>
        <v>0</v>
      </c>
      <c r="E75" s="10">
        <f t="shared" si="19"/>
        <v>519121.06707402249</v>
      </c>
      <c r="F75" s="10">
        <f t="shared" si="20"/>
        <v>0</v>
      </c>
      <c r="G75" s="14">
        <f t="shared" si="27"/>
        <v>-7822580.8539789533</v>
      </c>
      <c r="H75" s="14">
        <f t="shared" si="21"/>
        <v>-312903.23415915814</v>
      </c>
      <c r="I75" s="10">
        <f t="shared" si="22"/>
        <v>519121.06707402249</v>
      </c>
      <c r="J75" s="14">
        <f t="shared" si="23"/>
        <v>-8654605.1552121341</v>
      </c>
      <c r="K75" s="14">
        <f t="shared" si="24"/>
        <v>-832024.3012331808</v>
      </c>
    </row>
    <row r="76" spans="1:11" x14ac:dyDescent="0.2">
      <c r="A76">
        <f t="shared" si="25"/>
        <v>75</v>
      </c>
      <c r="B76">
        <f t="shared" si="26"/>
        <v>103</v>
      </c>
      <c r="C76" s="10">
        <f t="shared" si="18"/>
        <v>0</v>
      </c>
      <c r="D76" s="10">
        <f t="shared" si="17"/>
        <v>0</v>
      </c>
      <c r="E76" s="10">
        <f t="shared" si="19"/>
        <v>534694.69908624317</v>
      </c>
      <c r="F76" s="10">
        <f t="shared" si="20"/>
        <v>0</v>
      </c>
      <c r="G76" s="14">
        <f t="shared" si="27"/>
        <v>-8654605.1552121341</v>
      </c>
      <c r="H76" s="14">
        <f t="shared" si="21"/>
        <v>-346184.20620848535</v>
      </c>
      <c r="I76" s="10">
        <f t="shared" si="22"/>
        <v>534694.69908624317</v>
      </c>
      <c r="J76" s="14">
        <f t="shared" si="23"/>
        <v>-9535484.0605068635</v>
      </c>
      <c r="K76" s="14">
        <f t="shared" si="24"/>
        <v>-880878.9052947294</v>
      </c>
    </row>
    <row r="77" spans="1:11" x14ac:dyDescent="0.2">
      <c r="A77">
        <f t="shared" si="25"/>
        <v>76</v>
      </c>
      <c r="B77">
        <f t="shared" si="26"/>
        <v>104</v>
      </c>
      <c r="C77" s="10">
        <f t="shared" si="18"/>
        <v>0</v>
      </c>
      <c r="D77" s="10">
        <f t="shared" si="17"/>
        <v>0</v>
      </c>
      <c r="E77" s="10">
        <f t="shared" si="19"/>
        <v>550735.54005883052</v>
      </c>
      <c r="F77" s="10">
        <f t="shared" si="20"/>
        <v>0</v>
      </c>
      <c r="G77" s="14">
        <f t="shared" si="27"/>
        <v>-9535484.0605068635</v>
      </c>
      <c r="H77" s="14">
        <f t="shared" si="21"/>
        <v>-381419.36242027453</v>
      </c>
      <c r="I77" s="10">
        <f t="shared" si="22"/>
        <v>550735.54005883052</v>
      </c>
      <c r="J77" s="14">
        <f t="shared" si="23"/>
        <v>-10467638.962985968</v>
      </c>
      <c r="K77" s="14">
        <f t="shared" si="24"/>
        <v>-932154.9024791047</v>
      </c>
    </row>
    <row r="78" spans="1:11" x14ac:dyDescent="0.2">
      <c r="A78">
        <f t="shared" si="25"/>
        <v>77</v>
      </c>
      <c r="B78">
        <f t="shared" si="26"/>
        <v>105</v>
      </c>
      <c r="C78" s="10">
        <f t="shared" si="18"/>
        <v>0</v>
      </c>
      <c r="D78" s="10">
        <f t="shared" si="17"/>
        <v>0</v>
      </c>
      <c r="E78" s="10">
        <f t="shared" si="19"/>
        <v>567257.60626059538</v>
      </c>
      <c r="F78" s="10">
        <f t="shared" si="20"/>
        <v>0</v>
      </c>
      <c r="G78" s="14">
        <f t="shared" si="27"/>
        <v>-10467638.962985968</v>
      </c>
      <c r="H78" s="14">
        <f t="shared" si="21"/>
        <v>-418705.55851943872</v>
      </c>
      <c r="I78" s="10">
        <f t="shared" si="22"/>
        <v>567257.60626059538</v>
      </c>
      <c r="J78" s="14">
        <f t="shared" si="23"/>
        <v>-11453602.127766002</v>
      </c>
      <c r="K78" s="14">
        <f t="shared" si="24"/>
        <v>-985963.16478003375</v>
      </c>
    </row>
    <row r="79" spans="1:11" x14ac:dyDescent="0.2">
      <c r="A79">
        <f t="shared" si="25"/>
        <v>78</v>
      </c>
      <c r="B79">
        <f t="shared" si="26"/>
        <v>106</v>
      </c>
      <c r="C79" s="10">
        <f t="shared" si="18"/>
        <v>0</v>
      </c>
      <c r="D79" s="10">
        <f t="shared" si="17"/>
        <v>0</v>
      </c>
      <c r="E79" s="10">
        <f t="shared" si="19"/>
        <v>584275.33444841322</v>
      </c>
      <c r="F79" s="10">
        <f t="shared" si="20"/>
        <v>0</v>
      </c>
      <c r="G79" s="14">
        <f t="shared" si="27"/>
        <v>-11453602.127766002</v>
      </c>
      <c r="H79" s="14">
        <f t="shared" si="21"/>
        <v>-458144.0851106401</v>
      </c>
      <c r="I79" s="10">
        <f t="shared" si="22"/>
        <v>584275.33444841322</v>
      </c>
      <c r="J79" s="14">
        <f t="shared" si="23"/>
        <v>-12496021.547325056</v>
      </c>
      <c r="K79" s="14">
        <f t="shared" si="24"/>
        <v>-1042419.4195590541</v>
      </c>
    </row>
    <row r="80" spans="1:11" x14ac:dyDescent="0.2">
      <c r="A80">
        <f t="shared" si="25"/>
        <v>79</v>
      </c>
      <c r="B80">
        <f t="shared" si="26"/>
        <v>107</v>
      </c>
      <c r="C80" s="10">
        <f t="shared" si="18"/>
        <v>0</v>
      </c>
      <c r="D80" s="10">
        <f t="shared" si="17"/>
        <v>0</v>
      </c>
      <c r="E80" s="10">
        <f t="shared" si="19"/>
        <v>601803.59448186564</v>
      </c>
      <c r="F80" s="10">
        <f t="shared" si="20"/>
        <v>0</v>
      </c>
      <c r="G80" s="14">
        <f t="shared" si="27"/>
        <v>-12496021.547325056</v>
      </c>
      <c r="H80" s="14">
        <f t="shared" si="21"/>
        <v>-499840.86189300223</v>
      </c>
      <c r="I80" s="10">
        <f t="shared" si="22"/>
        <v>601803.59448186564</v>
      </c>
      <c r="J80" s="14">
        <f t="shared" si="23"/>
        <v>-13597666.003699923</v>
      </c>
      <c r="K80" s="14">
        <f t="shared" si="24"/>
        <v>-1101644.4563748669</v>
      </c>
    </row>
    <row r="81" spans="1:11" x14ac:dyDescent="0.2">
      <c r="A81">
        <f t="shared" si="25"/>
        <v>80</v>
      </c>
      <c r="B81">
        <f t="shared" si="26"/>
        <v>108</v>
      </c>
      <c r="C81" s="10">
        <f t="shared" si="18"/>
        <v>0</v>
      </c>
      <c r="D81" s="10">
        <f t="shared" si="17"/>
        <v>0</v>
      </c>
      <c r="E81" s="10">
        <f t="shared" si="19"/>
        <v>619857.70231632167</v>
      </c>
      <c r="F81" s="10">
        <f t="shared" si="20"/>
        <v>0</v>
      </c>
      <c r="G81" s="14">
        <f t="shared" si="27"/>
        <v>-13597666.003699923</v>
      </c>
      <c r="H81" s="14">
        <f t="shared" si="21"/>
        <v>-543906.64014799695</v>
      </c>
      <c r="I81" s="10">
        <f t="shared" si="22"/>
        <v>619857.70231632167</v>
      </c>
      <c r="J81" s="14">
        <f t="shared" si="23"/>
        <v>-14761430.346164241</v>
      </c>
      <c r="K81" s="14">
        <f t="shared" si="24"/>
        <v>-1163764.3424643185</v>
      </c>
    </row>
    <row r="82" spans="1:11" x14ac:dyDescent="0.2">
      <c r="A82">
        <f t="shared" si="25"/>
        <v>81</v>
      </c>
      <c r="B82">
        <f t="shared" si="26"/>
        <v>109</v>
      </c>
      <c r="C82" s="10">
        <f t="shared" si="18"/>
        <v>0</v>
      </c>
      <c r="D82" s="10">
        <f t="shared" si="17"/>
        <v>0</v>
      </c>
      <c r="E82" s="10">
        <f t="shared" si="19"/>
        <v>638453.43338581128</v>
      </c>
      <c r="F82" s="10">
        <f t="shared" si="20"/>
        <v>0</v>
      </c>
      <c r="G82" s="14">
        <f t="shared" si="27"/>
        <v>-14761430.346164241</v>
      </c>
      <c r="H82" s="14">
        <f t="shared" si="21"/>
        <v>-590457.21384656965</v>
      </c>
      <c r="I82" s="10">
        <f t="shared" si="22"/>
        <v>638453.43338581128</v>
      </c>
      <c r="J82" s="14">
        <f t="shared" si="23"/>
        <v>-15990340.993396623</v>
      </c>
      <c r="K82" s="14">
        <f t="shared" si="24"/>
        <v>-1228910.6472323816</v>
      </c>
    </row>
    <row r="83" spans="1:11" x14ac:dyDescent="0.2">
      <c r="A83">
        <f t="shared" si="25"/>
        <v>82</v>
      </c>
      <c r="B83">
        <f t="shared" si="26"/>
        <v>110</v>
      </c>
      <c r="C83" s="10">
        <f t="shared" si="18"/>
        <v>0</v>
      </c>
      <c r="D83" s="10">
        <f t="shared" si="17"/>
        <v>0</v>
      </c>
      <c r="E83" s="10">
        <f t="shared" si="19"/>
        <v>657607.03638738557</v>
      </c>
      <c r="F83" s="10">
        <f t="shared" si="20"/>
        <v>0</v>
      </c>
      <c r="G83" s="14">
        <f t="shared" si="27"/>
        <v>-15990340.993396623</v>
      </c>
      <c r="H83" s="14">
        <f t="shared" si="21"/>
        <v>-639613.63973586494</v>
      </c>
      <c r="I83" s="10">
        <f t="shared" si="22"/>
        <v>657607.03638738557</v>
      </c>
      <c r="J83" s="14">
        <f t="shared" si="23"/>
        <v>-17287561.669519871</v>
      </c>
      <c r="K83" s="14">
        <f t="shared" si="24"/>
        <v>-1297220.6761232484</v>
      </c>
    </row>
    <row r="84" spans="1:11" x14ac:dyDescent="0.2">
      <c r="A84">
        <f t="shared" si="25"/>
        <v>83</v>
      </c>
      <c r="B84">
        <f t="shared" si="26"/>
        <v>111</v>
      </c>
      <c r="C84" s="10">
        <f t="shared" si="18"/>
        <v>0</v>
      </c>
      <c r="D84" s="10">
        <f t="shared" si="17"/>
        <v>0</v>
      </c>
      <c r="E84" s="10">
        <f t="shared" si="19"/>
        <v>677335.24747900711</v>
      </c>
      <c r="F84" s="10">
        <f t="shared" si="20"/>
        <v>0</v>
      </c>
      <c r="G84" s="14">
        <f t="shared" si="27"/>
        <v>-17287561.669519871</v>
      </c>
      <c r="H84" s="14">
        <f t="shared" si="21"/>
        <v>-691502.4667807949</v>
      </c>
      <c r="I84" s="10">
        <f t="shared" si="22"/>
        <v>677335.24747900711</v>
      </c>
      <c r="J84" s="14">
        <f t="shared" si="23"/>
        <v>-18656399.383779675</v>
      </c>
      <c r="K84" s="14">
        <f t="shared" si="24"/>
        <v>-1368837.7142598033</v>
      </c>
    </row>
    <row r="85" spans="1:11" x14ac:dyDescent="0.2">
      <c r="A85">
        <f t="shared" si="25"/>
        <v>84</v>
      </c>
      <c r="B85">
        <f t="shared" si="26"/>
        <v>112</v>
      </c>
      <c r="C85" s="10">
        <f t="shared" si="18"/>
        <v>0</v>
      </c>
      <c r="D85" s="10">
        <f t="shared" si="17"/>
        <v>0</v>
      </c>
      <c r="E85" s="10">
        <f t="shared" si="19"/>
        <v>697655.30490337731</v>
      </c>
      <c r="F85" s="10">
        <f t="shared" si="20"/>
        <v>0</v>
      </c>
      <c r="G85" s="14">
        <f t="shared" si="27"/>
        <v>-18656399.383779675</v>
      </c>
      <c r="H85" s="14">
        <f t="shared" si="21"/>
        <v>-746255.97535118705</v>
      </c>
      <c r="I85" s="10">
        <f t="shared" si="22"/>
        <v>697655.30490337731</v>
      </c>
      <c r="J85" s="14">
        <f t="shared" si="23"/>
        <v>-20100310.66403424</v>
      </c>
      <c r="K85" s="14">
        <f t="shared" si="24"/>
        <v>-1443911.2802545652</v>
      </c>
    </row>
    <row r="86" spans="1:11" x14ac:dyDescent="0.2">
      <c r="A86">
        <f t="shared" si="25"/>
        <v>85</v>
      </c>
      <c r="B86">
        <f t="shared" si="26"/>
        <v>113</v>
      </c>
      <c r="C86" s="10">
        <f t="shared" si="18"/>
        <v>0</v>
      </c>
      <c r="D86" s="10">
        <f t="shared" si="17"/>
        <v>0</v>
      </c>
      <c r="E86" s="10">
        <f t="shared" si="19"/>
        <v>718584.96405047865</v>
      </c>
      <c r="F86" s="10">
        <f t="shared" si="20"/>
        <v>0</v>
      </c>
      <c r="G86" s="14">
        <f t="shared" si="27"/>
        <v>-20100310.66403424</v>
      </c>
      <c r="H86" s="14">
        <f t="shared" si="21"/>
        <v>-804012.42656136956</v>
      </c>
      <c r="I86" s="10">
        <f t="shared" si="22"/>
        <v>718584.96405047865</v>
      </c>
      <c r="J86" s="14">
        <f t="shared" si="23"/>
        <v>-21622908.05464609</v>
      </c>
      <c r="K86" s="14">
        <f t="shared" si="24"/>
        <v>-1522597.3906118497</v>
      </c>
    </row>
    <row r="87" spans="1:11" x14ac:dyDescent="0.2">
      <c r="A87">
        <f t="shared" si="25"/>
        <v>86</v>
      </c>
      <c r="B87">
        <f t="shared" si="26"/>
        <v>114</v>
      </c>
      <c r="C87" s="10">
        <f t="shared" si="18"/>
        <v>0</v>
      </c>
      <c r="D87" s="10">
        <f t="shared" si="17"/>
        <v>0</v>
      </c>
      <c r="E87" s="10">
        <f t="shared" si="19"/>
        <v>740142.51297199295</v>
      </c>
      <c r="F87" s="10">
        <f t="shared" si="20"/>
        <v>0</v>
      </c>
      <c r="G87" s="14">
        <f t="shared" si="27"/>
        <v>-21622908.05464609</v>
      </c>
      <c r="H87" s="14">
        <f t="shared" si="21"/>
        <v>-864916.3221858436</v>
      </c>
      <c r="I87" s="10">
        <f t="shared" si="22"/>
        <v>740142.51297199295</v>
      </c>
      <c r="J87" s="14">
        <f t="shared" si="23"/>
        <v>-23227966.889803927</v>
      </c>
      <c r="K87" s="14">
        <f t="shared" si="24"/>
        <v>-1605058.8351578377</v>
      </c>
    </row>
    <row r="88" spans="1:11" x14ac:dyDescent="0.2">
      <c r="A88">
        <f t="shared" si="25"/>
        <v>87</v>
      </c>
      <c r="B88">
        <f t="shared" si="26"/>
        <v>115</v>
      </c>
      <c r="C88" s="10">
        <f t="shared" si="18"/>
        <v>0</v>
      </c>
      <c r="D88" s="10">
        <f t="shared" si="17"/>
        <v>0</v>
      </c>
      <c r="E88" s="10">
        <f t="shared" si="19"/>
        <v>762346.78836115275</v>
      </c>
      <c r="F88" s="10">
        <f t="shared" si="20"/>
        <v>0</v>
      </c>
      <c r="G88" s="14">
        <f t="shared" si="27"/>
        <v>-23227966.889803927</v>
      </c>
      <c r="H88" s="14">
        <f t="shared" si="21"/>
        <v>-929118.67559215706</v>
      </c>
      <c r="I88" s="10">
        <f t="shared" si="22"/>
        <v>762346.78836115275</v>
      </c>
      <c r="J88" s="14">
        <f t="shared" si="23"/>
        <v>-24919432.35375724</v>
      </c>
      <c r="K88" s="14">
        <f t="shared" si="24"/>
        <v>-1691465.4639533125</v>
      </c>
    </row>
    <row r="89" spans="1:11" x14ac:dyDescent="0.2">
      <c r="A89">
        <f t="shared" si="25"/>
        <v>88</v>
      </c>
      <c r="B89">
        <f t="shared" si="26"/>
        <v>116</v>
      </c>
      <c r="C89" s="10">
        <f t="shared" si="18"/>
        <v>0</v>
      </c>
      <c r="D89" s="10">
        <f t="shared" si="17"/>
        <v>0</v>
      </c>
      <c r="E89" s="10">
        <f t="shared" si="19"/>
        <v>785217.19201198732</v>
      </c>
      <c r="F89" s="10">
        <f t="shared" si="20"/>
        <v>0</v>
      </c>
      <c r="G89" s="14">
        <f t="shared" si="27"/>
        <v>-24919432.35375724</v>
      </c>
      <c r="H89" s="14">
        <f t="shared" si="21"/>
        <v>-996777.29415028961</v>
      </c>
      <c r="I89" s="10">
        <f t="shared" si="22"/>
        <v>785217.19201198732</v>
      </c>
      <c r="J89" s="14">
        <f t="shared" si="23"/>
        <v>-26701426.839919515</v>
      </c>
      <c r="K89" s="14">
        <f t="shared" si="24"/>
        <v>-1781994.4861622751</v>
      </c>
    </row>
    <row r="90" spans="1:11" x14ac:dyDescent="0.2">
      <c r="A90">
        <f t="shared" si="25"/>
        <v>89</v>
      </c>
      <c r="B90">
        <f t="shared" si="26"/>
        <v>117</v>
      </c>
      <c r="C90" s="10">
        <f t="shared" si="18"/>
        <v>0</v>
      </c>
      <c r="D90" s="10">
        <f t="shared" si="17"/>
        <v>0</v>
      </c>
      <c r="E90" s="10">
        <f t="shared" si="19"/>
        <v>808773.70777234691</v>
      </c>
      <c r="F90" s="10">
        <f t="shared" si="20"/>
        <v>0</v>
      </c>
      <c r="G90" s="14">
        <f t="shared" si="27"/>
        <v>-26701426.839919515</v>
      </c>
      <c r="H90" s="14">
        <f t="shared" si="21"/>
        <v>-1068057.0735967807</v>
      </c>
      <c r="I90" s="10">
        <f t="shared" si="22"/>
        <v>808773.70777234691</v>
      </c>
      <c r="J90" s="14">
        <f t="shared" si="23"/>
        <v>-28578257.621288642</v>
      </c>
      <c r="K90" s="14">
        <f t="shared" si="24"/>
        <v>-1876830.7813691273</v>
      </c>
    </row>
    <row r="91" spans="1:11" x14ac:dyDescent="0.2">
      <c r="A91">
        <f t="shared" si="25"/>
        <v>90</v>
      </c>
      <c r="B91">
        <f t="shared" si="26"/>
        <v>118</v>
      </c>
      <c r="C91" s="10">
        <f t="shared" si="18"/>
        <v>0</v>
      </c>
      <c r="D91" s="10">
        <f t="shared" si="17"/>
        <v>0</v>
      </c>
      <c r="E91" s="10">
        <f t="shared" si="19"/>
        <v>833036.91900551727</v>
      </c>
      <c r="F91" s="10">
        <f t="shared" si="20"/>
        <v>0</v>
      </c>
      <c r="G91" s="14">
        <f t="shared" si="27"/>
        <v>-28578257.621288642</v>
      </c>
      <c r="H91" s="14">
        <f t="shared" si="21"/>
        <v>-1143130.3048515457</v>
      </c>
      <c r="I91" s="10">
        <f t="shared" si="22"/>
        <v>833036.91900551727</v>
      </c>
      <c r="J91" s="14">
        <f t="shared" si="23"/>
        <v>-30554424.845145706</v>
      </c>
      <c r="K91" s="14">
        <f t="shared" si="24"/>
        <v>-1976167.2238570638</v>
      </c>
    </row>
    <row r="92" spans="1:11" x14ac:dyDescent="0.2">
      <c r="A92">
        <f t="shared" si="25"/>
        <v>91</v>
      </c>
      <c r="B92">
        <f t="shared" si="26"/>
        <v>119</v>
      </c>
      <c r="C92" s="10">
        <f t="shared" si="18"/>
        <v>0</v>
      </c>
      <c r="D92" s="10">
        <f t="shared" si="17"/>
        <v>0</v>
      </c>
      <c r="E92" s="10">
        <f t="shared" si="19"/>
        <v>858028.0265756828</v>
      </c>
      <c r="F92" s="10">
        <f t="shared" si="20"/>
        <v>0</v>
      </c>
      <c r="G92" s="14">
        <f t="shared" si="27"/>
        <v>-30554424.845145706</v>
      </c>
      <c r="H92" s="14">
        <f t="shared" si="21"/>
        <v>-1222176.9938058283</v>
      </c>
      <c r="I92" s="10">
        <f t="shared" si="22"/>
        <v>858028.0265756828</v>
      </c>
      <c r="J92" s="14">
        <f t="shared" si="23"/>
        <v>-32634629.86552722</v>
      </c>
      <c r="K92" s="14">
        <f t="shared" si="24"/>
        <v>-2080205.020381514</v>
      </c>
    </row>
    <row r="93" spans="1:11" x14ac:dyDescent="0.2">
      <c r="A93">
        <f t="shared" si="25"/>
        <v>92</v>
      </c>
      <c r="B93">
        <f t="shared" si="26"/>
        <v>120</v>
      </c>
      <c r="C93" s="10">
        <f t="shared" si="18"/>
        <v>0</v>
      </c>
      <c r="D93" s="10">
        <f t="shared" si="17"/>
        <v>0</v>
      </c>
      <c r="E93" s="10">
        <f t="shared" si="19"/>
        <v>883768.86737295333</v>
      </c>
      <c r="F93" s="10">
        <f t="shared" si="20"/>
        <v>0</v>
      </c>
      <c r="G93" s="14">
        <f t="shared" si="27"/>
        <v>-32634629.86552722</v>
      </c>
      <c r="H93" s="14">
        <f t="shared" si="21"/>
        <v>-1305385.1946210889</v>
      </c>
      <c r="I93" s="10">
        <f t="shared" si="22"/>
        <v>883768.86737295333</v>
      </c>
      <c r="J93" s="14">
        <f t="shared" si="23"/>
        <v>-34823783.927521259</v>
      </c>
      <c r="K93" s="14">
        <f t="shared" si="24"/>
        <v>-2189154.0619940385</v>
      </c>
    </row>
    <row r="94" spans="1:11" x14ac:dyDescent="0.2">
      <c r="A94">
        <f t="shared" si="25"/>
        <v>93</v>
      </c>
      <c r="B94">
        <f t="shared" si="26"/>
        <v>121</v>
      </c>
      <c r="C94" s="10">
        <f t="shared" si="18"/>
        <v>0</v>
      </c>
      <c r="D94" s="10">
        <f t="shared" si="17"/>
        <v>0</v>
      </c>
      <c r="E94" s="10">
        <f t="shared" si="19"/>
        <v>910281.93339414196</v>
      </c>
      <c r="F94" s="10">
        <f t="shared" si="20"/>
        <v>0</v>
      </c>
      <c r="G94" s="14">
        <f t="shared" si="27"/>
        <v>-34823783.927521259</v>
      </c>
      <c r="H94" s="14">
        <f t="shared" si="21"/>
        <v>-1392951.3571008504</v>
      </c>
      <c r="I94" s="10">
        <f t="shared" si="22"/>
        <v>910281.93339414196</v>
      </c>
      <c r="J94" s="14">
        <f t="shared" si="23"/>
        <v>-37127017.218016252</v>
      </c>
      <c r="K94" s="14">
        <f t="shared" si="24"/>
        <v>-2303233.2904949933</v>
      </c>
    </row>
    <row r="95" spans="1:11" x14ac:dyDescent="0.2">
      <c r="A95">
        <f t="shared" si="25"/>
        <v>94</v>
      </c>
      <c r="B95">
        <f t="shared" si="26"/>
        <v>122</v>
      </c>
      <c r="C95" s="10">
        <f t="shared" si="18"/>
        <v>0</v>
      </c>
      <c r="D95" s="10">
        <f t="shared" si="17"/>
        <v>0</v>
      </c>
      <c r="E95" s="10">
        <f t="shared" si="19"/>
        <v>937590.39139596617</v>
      </c>
      <c r="F95" s="10">
        <f t="shared" si="20"/>
        <v>0</v>
      </c>
      <c r="G95" s="14">
        <f t="shared" si="27"/>
        <v>-37127017.218016252</v>
      </c>
      <c r="H95" s="14">
        <f t="shared" si="21"/>
        <v>-1485080.68872065</v>
      </c>
      <c r="I95" s="10">
        <f t="shared" si="22"/>
        <v>937590.39139596617</v>
      </c>
      <c r="J95" s="14">
        <f t="shared" si="23"/>
        <v>-39549688.298132867</v>
      </c>
      <c r="K95" s="14">
        <f t="shared" si="24"/>
        <v>-2422671.0801166147</v>
      </c>
    </row>
    <row r="96" spans="1:11" x14ac:dyDescent="0.2">
      <c r="A96">
        <f t="shared" si="25"/>
        <v>95</v>
      </c>
      <c r="B96">
        <f t="shared" si="26"/>
        <v>123</v>
      </c>
      <c r="C96" s="10">
        <f t="shared" si="18"/>
        <v>0</v>
      </c>
      <c r="D96" s="10">
        <f t="shared" si="17"/>
        <v>0</v>
      </c>
      <c r="E96" s="10">
        <f t="shared" si="19"/>
        <v>965718.10313784517</v>
      </c>
      <c r="F96" s="10">
        <f t="shared" si="20"/>
        <v>0</v>
      </c>
      <c r="G96" s="14">
        <f t="shared" si="27"/>
        <v>-39549688.298132867</v>
      </c>
      <c r="H96" s="14">
        <f t="shared" si="21"/>
        <v>-1581987.5319253148</v>
      </c>
      <c r="I96" s="10">
        <f t="shared" si="22"/>
        <v>965718.10313784517</v>
      </c>
      <c r="J96" s="14">
        <f t="shared" si="23"/>
        <v>-42097393.933196023</v>
      </c>
      <c r="K96" s="14">
        <f t="shared" si="24"/>
        <v>-2547705.6350631565</v>
      </c>
    </row>
    <row r="97" spans="1:11" x14ac:dyDescent="0.2">
      <c r="A97">
        <f t="shared" si="25"/>
        <v>96</v>
      </c>
      <c r="B97">
        <f t="shared" si="26"/>
        <v>124</v>
      </c>
      <c r="C97" s="10">
        <f t="shared" si="18"/>
        <v>0</v>
      </c>
      <c r="D97" s="10">
        <f t="shared" si="17"/>
        <v>0</v>
      </c>
      <c r="E97" s="10">
        <f t="shared" si="19"/>
        <v>994689.64623198053</v>
      </c>
      <c r="F97" s="10">
        <f t="shared" si="20"/>
        <v>0</v>
      </c>
      <c r="G97" s="14">
        <f t="shared" si="27"/>
        <v>-42097393.933196023</v>
      </c>
      <c r="H97" s="14">
        <f t="shared" si="21"/>
        <v>-1683895.7573278409</v>
      </c>
      <c r="I97" s="10">
        <f t="shared" si="22"/>
        <v>994689.64623198053</v>
      </c>
      <c r="J97" s="14">
        <f t="shared" si="23"/>
        <v>-44775979.336755842</v>
      </c>
      <c r="K97" s="14">
        <f t="shared" si="24"/>
        <v>-2678585.4035598189</v>
      </c>
    </row>
    <row r="98" spans="1:11" x14ac:dyDescent="0.2">
      <c r="A98">
        <f t="shared" si="25"/>
        <v>97</v>
      </c>
      <c r="B98">
        <f t="shared" si="26"/>
        <v>125</v>
      </c>
      <c r="C98" s="10">
        <f t="shared" si="18"/>
        <v>0</v>
      </c>
      <c r="D98" s="10">
        <f t="shared" ref="D98:D101" si="28">C98*tax_rate</f>
        <v>0</v>
      </c>
      <c r="E98" s="10">
        <f t="shared" si="19"/>
        <v>1024530.3356189399</v>
      </c>
      <c r="F98" s="10">
        <f t="shared" si="20"/>
        <v>0</v>
      </c>
      <c r="G98" s="14">
        <f t="shared" si="27"/>
        <v>-44775979.336755842</v>
      </c>
      <c r="H98" s="14">
        <f t="shared" si="21"/>
        <v>-1791039.1734702338</v>
      </c>
      <c r="I98" s="10">
        <f t="shared" si="22"/>
        <v>1024530.3356189399</v>
      </c>
      <c r="J98" s="14">
        <f t="shared" si="23"/>
        <v>-47591548.845845021</v>
      </c>
      <c r="K98" s="14">
        <f t="shared" si="24"/>
        <v>-2815569.5090891793</v>
      </c>
    </row>
    <row r="99" spans="1:11" x14ac:dyDescent="0.2">
      <c r="A99">
        <f t="shared" si="25"/>
        <v>98</v>
      </c>
      <c r="B99">
        <f t="shared" si="26"/>
        <v>126</v>
      </c>
      <c r="C99" s="10">
        <f t="shared" si="18"/>
        <v>0</v>
      </c>
      <c r="D99" s="10">
        <f t="shared" si="28"/>
        <v>0</v>
      </c>
      <c r="E99" s="10">
        <f t="shared" si="19"/>
        <v>1055266.2456875083</v>
      </c>
      <c r="F99" s="10">
        <f t="shared" ref="F99:F101" si="29">IF(des_rit_age&gt;B98,C99-(D99+E99),0)</f>
        <v>0</v>
      </c>
      <c r="G99" s="14">
        <f t="shared" si="27"/>
        <v>-47591548.845845021</v>
      </c>
      <c r="H99" s="14">
        <f t="shared" ref="H99:H101" si="30">IF(des_rit_age&gt;B98,G99*pre_inv_return,G99*post_inv_return)</f>
        <v>-1903661.953833801</v>
      </c>
      <c r="I99" s="10">
        <f t="shared" si="22"/>
        <v>1055266.2456875083</v>
      </c>
      <c r="J99" s="14">
        <f t="shared" si="23"/>
        <v>-50550477.045366332</v>
      </c>
      <c r="K99" s="14">
        <f t="shared" si="24"/>
        <v>-2958928.1995213106</v>
      </c>
    </row>
    <row r="100" spans="1:11" x14ac:dyDescent="0.2">
      <c r="A100">
        <f t="shared" si="25"/>
        <v>99</v>
      </c>
      <c r="B100">
        <f t="shared" si="26"/>
        <v>127</v>
      </c>
      <c r="C100" s="10">
        <f t="shared" si="18"/>
        <v>0</v>
      </c>
      <c r="D100" s="10">
        <f t="shared" si="28"/>
        <v>0</v>
      </c>
      <c r="E100" s="10">
        <f t="shared" si="19"/>
        <v>1086924.2330581334</v>
      </c>
      <c r="F100" s="10">
        <f t="shared" si="29"/>
        <v>0</v>
      </c>
      <c r="G100" s="14">
        <f t="shared" si="27"/>
        <v>-50550477.045366332</v>
      </c>
      <c r="H100" s="14">
        <f t="shared" si="30"/>
        <v>-2022019.0818146532</v>
      </c>
      <c r="I100" s="10">
        <f t="shared" si="22"/>
        <v>1086924.2330581334</v>
      </c>
      <c r="J100" s="14">
        <f t="shared" si="23"/>
        <v>-53659420.360239118</v>
      </c>
      <c r="K100" s="14">
        <f t="shared" si="24"/>
        <v>-3108943.3148727864</v>
      </c>
    </row>
    <row r="101" spans="1:11" x14ac:dyDescent="0.2">
      <c r="A101">
        <f t="shared" si="25"/>
        <v>100</v>
      </c>
      <c r="B101">
        <f t="shared" si="26"/>
        <v>128</v>
      </c>
      <c r="C101" s="10">
        <f t="shared" si="18"/>
        <v>0</v>
      </c>
      <c r="D101" s="10">
        <f t="shared" si="28"/>
        <v>0</v>
      </c>
      <c r="E101" s="10">
        <f t="shared" si="19"/>
        <v>1119531.9600498774</v>
      </c>
      <c r="F101" s="10">
        <f t="shared" si="29"/>
        <v>0</v>
      </c>
      <c r="G101" s="14">
        <f t="shared" si="27"/>
        <v>-53659420.360239118</v>
      </c>
      <c r="H101" s="14">
        <f t="shared" si="30"/>
        <v>-2146376.8144095647</v>
      </c>
      <c r="I101" s="10">
        <f t="shared" si="22"/>
        <v>1119531.9600498774</v>
      </c>
      <c r="J101" s="14">
        <f t="shared" si="23"/>
        <v>-56925329.134698555</v>
      </c>
      <c r="K101" s="14">
        <f t="shared" si="24"/>
        <v>-3265908.7744594365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DD8E-49D7-4AC2-AB5A-881ACDD9F364}">
  <dimension ref="A1:B9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34.1640625" customWidth="1"/>
  </cols>
  <sheetData>
    <row r="1" spans="1:2" x14ac:dyDescent="0.2">
      <c r="A1" s="1" t="s">
        <v>21</v>
      </c>
      <c r="B1" s="2">
        <v>0.04</v>
      </c>
    </row>
    <row r="2" spans="1:2" x14ac:dyDescent="0.2">
      <c r="A2" s="1" t="s">
        <v>24</v>
      </c>
      <c r="B2" s="2">
        <v>0.06</v>
      </c>
    </row>
    <row r="3" spans="1:2" x14ac:dyDescent="0.2">
      <c r="A3" s="1" t="s">
        <v>25</v>
      </c>
      <c r="B3" s="2">
        <v>0.08</v>
      </c>
    </row>
    <row r="5" spans="1:2" x14ac:dyDescent="0.2">
      <c r="A5" s="1" t="s">
        <v>26</v>
      </c>
      <c r="B5" s="3">
        <f>VLOOKUP(Planner!A16,Support!A1:B3,2,FALSE)</f>
        <v>0.08</v>
      </c>
    </row>
    <row r="6" spans="1:2" x14ac:dyDescent="0.2">
      <c r="A6" s="1" t="s">
        <v>27</v>
      </c>
      <c r="B6" s="3">
        <f>VLOOKUP(Planner!A19,Support!A1:B3,2,FALSE)</f>
        <v>0.04</v>
      </c>
    </row>
    <row r="8" spans="1:2" x14ac:dyDescent="0.2">
      <c r="A8" s="1" t="s">
        <v>28</v>
      </c>
      <c r="B8">
        <f>COUNTIF(Calculations!J2:J101,"&gt;=0")</f>
        <v>58</v>
      </c>
    </row>
    <row r="9" spans="1:2" x14ac:dyDescent="0.2">
      <c r="A9" s="1" t="s">
        <v>29</v>
      </c>
      <c r="B9">
        <f>cur_age+years_before_money_runs_out</f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Planner</vt:lpstr>
      <vt:lpstr>Detail</vt:lpstr>
      <vt:lpstr>Calculations</vt:lpstr>
      <vt:lpstr>Support</vt:lpstr>
      <vt:lpstr>age_when_money_runs_out</vt:lpstr>
      <vt:lpstr>ann_income_increase</vt:lpstr>
      <vt:lpstr>ann_inflation</vt:lpstr>
      <vt:lpstr>cur_age</vt:lpstr>
      <vt:lpstr>cur_expenses</vt:lpstr>
      <vt:lpstr>cur_income</vt:lpstr>
      <vt:lpstr>cur_ret_saving</vt:lpstr>
      <vt:lpstr>des_rit_age</vt:lpstr>
      <vt:lpstr>post_inv_return</vt:lpstr>
      <vt:lpstr>pre_inv_return</vt:lpstr>
      <vt:lpstr>tax_rate</vt:lpstr>
      <vt:lpstr>years_before_money_runs_out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Cuzick</dc:creator>
  <cp:lastModifiedBy>Joseluis Botello-Esquivel</cp:lastModifiedBy>
  <dcterms:created xsi:type="dcterms:W3CDTF">2015-06-05T18:17:20Z</dcterms:created>
  <dcterms:modified xsi:type="dcterms:W3CDTF">2026-10-07T17:13:17Z</dcterms:modified>
</cp:coreProperties>
</file>